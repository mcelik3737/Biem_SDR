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5bacd58a7746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zet" sheetId="1" r:id="R53bca17cf7cd47eb"/>
    <x:sheet xmlns:r="http://schemas.openxmlformats.org/officeDocument/2006/relationships" name="BOM" sheetId="2" r:id="R7e2facacbe1744da"/>
    <x:sheet xmlns:r="http://schemas.openxmlformats.org/officeDocument/2006/relationships" name="Gelistirme" sheetId="3" r:id="R84e3f2095e144c70"/>
    <x:sheet xmlns:r="http://schemas.openxmlformats.org/officeDocument/2006/relationships" name="Kapasite" sheetId="4" r:id="R3a8690c4085345b9"/>
  </x:sheets>
</x:workbook>
</file>

<file path=xl/comments1.xml><?xml version="1.0" encoding="utf-8"?>
<x:comments xmlns:x="http://schemas.openxmlformats.org/spreadsheetml/2006/main">
  <x:authors>
    <x:author/>
  </x:authors>
  <x:commentList>
    <x:comment ref="M8" authorId="0">
      <x:text>
        <x:r>
          <x:t>MinikPC / 14.09.2026
https://www.minikpc.com/geekom-mini-it13-intel-13-nesil-i9-13900hk-32gb-ddr4-1tb-m-2-ssd-wi-fi-6e-1x-ethernet-2x-hdmi-win11-pro-mini-pc
Web gözlemi; Stokta var; adet/termin teyit
32 GB, 1 TB, Win11 Pro ve orijinal adaptör dahil. KDV dahil kabulü faturada teyit.
Alternatif: ASUS NUC i5 + 16 GB + 1 TB; ayrı fiyat/güç/uyum kontrolü
Plan termin: 1-3 iş günü hedef</x:t>
        </x:r>
      </x:text>
    </x:comment>
    <x:comment ref="M9" authorId="0">
      <x:text>
        <x:r>
          <x:t>Beti / 14.09.2026
https://www.beti.com.tr/urun/rtl-sdr-blog-v3-rtl2832u-software-defined-radio
Web gözlemi; Sepete açık; stok adedi yok
İlk testte bir adet; ikincisi çoklu SDR testi için. Anten seti dahil ürün; ayrı anten yok.
Alternatif: Resmi RTL-SDR mağazası; ithalat/teslim ayrıca
Plan termin: 1-3 iş günü hedef</x:t>
        </x:r>
      </x:text>
    </x:comment>
    <x:comment ref="M10" authorId="0">
      <x:text>
        <x:r>
          <x:t>Altınkaya / yerel lazer-büküm / 14.09.2026
https://www.altinkaya.com/tr
Ödenek; Teklif bekliyor
360×260×86 mm; Al 5052-H32 2 mm şasi/kapak; ön/arka 3 mm Al 5005; bağlantı köşeleri dahil.
Alternatif: Hazır Altınkaya RM-120-360; farklı panel ölçüsü
Plan termin: 7-12 iş günü hedef</x:t>
        </x:r>
      </x:text>
    </x:comment>
    <x:comment ref="M11" authorId="0">
      <x:text>
        <x:r>
          <x:t>Altınkaya / yerel lazer-büküm / 14.09.2026
https://www.altinkaya.com/tr
Ödenek; Teklif bekliyor
3 mm çelik; 482,6 mm toplam; 4 adet M4/yan ve arka destek rafı. Set iki kulak.
Alternatif: Hammond RM2U1913SBK kasa+kendi kulakları
Plan termin: Kasa ile birlikte</x:t>
        </x:r>
      </x:text>
    </x:comment>
    <x:comment ref="M12" authorId="0">
      <x:text>
        <x:r>
          <x:t>Altınkaya / 14.09.2026
https://www.altinkaya.com/tr
Ödenek; Teklif bekliyor
Özgün BIEM logosu; model/seri; güç değeri numune sonrası. CE henüz basılmaz.
Alternatif: Yerel metal etiket/UV baskı
Plan termin: Kasa ile birlikte</x:t>
        </x:r>
      </x:text>
    </x:comment>
    <x:comment ref="M13" authorId="0">
      <x:text>
        <x:r>
          <x:t>Altınkaya / lazer atölyesi / 14.09.2026
https://www.altinkaya.com/tr
Ödenek; Teklif bekliyor
Sökülebilir tabla, standoff ve slotlar; PC/SDR servis edilebilir.
Alternatif: Standart alüminyum plaka + yerel işleme
Plan termin: 3-5 iş günü hedef</x:t>
        </x:r>
      </x:text>
    </x:comment>
    <x:comment ref="M14" authorId="0">
      <x:text>
        <x:r>
          <x:t>Yerel lazer-büküm / 14.09.2026
https://www.altinkaya.com/tr
Ödenek; Teklif bekliyor
Hava girişini kapatmayan 2 kelepçe; PC kasası delinmez.
Alternatif: Üretici VESA plakası + taşıyıcı
Plan termin: Tabla ile birlikte</x:t>
        </x:r>
      </x:text>
    </x:comment>
    <x:comment ref="M15" authorId="0">
      <x:text>
        <x:r>
          <x:t>Yerel lazer-büküm / 14.09.2026
https://www.altinkaya.com/tr
Ödenek; Teklif bekliyor
V3 metal gövdesini tutar; USB/SMA'ya yük bindirmez.
Alternatif: M3 kelepçe + ince izolasyon şeridi
Plan termin: Tabla ile birlikte</x:t>
        </x:r>
      </x:text>
    </x:comment>
    <x:comment ref="M16" authorId="0">
      <x:text>
        <x:r>
          <x:t>Beti / RF kablo imalatçısı / 14.09.2026
https://www.beti.com.tr/urun/rtl-sdr-blog-v3-rtl2832u-software-defined-radio
Ödenek; Teklif bekliyor
50 ohm, 25-30 cm; standart SMA, RP-SMA değil; somun/pul dahil.
Alternatif: Mouser Amphenol/TE eşdeğer montajlı pigtail
Plan termin: 2-5 iş günü hedef</x:t>
        </x:r>
      </x:text>
    </x:comment>
    <x:comment ref="M17" authorId="0">
      <x:text>
        <x:r>
          <x:t>Beti / Direnç / 14.09.2026
https://www.direnc.net/
Ödenek; Stok teyidi gerekli
RF portlara mekanik koruma; 50 ohm sonlandırıcı değildir.
Alternatif: Uygun kapaklı bulkhead
Plan termin: 2-5 iş günü hedef</x:t>
        </x:r>
      </x:text>
    </x:comment>
    <x:comment ref="M18" authorId="0">
      <x:text>
        <x:r>
          <x:t>Direnç / yerel kablo tedariki / 14.09.2026
https://www.direnc.net/
Ödenek; Stok teyidi gerekli
V3 USB-A sürümü için; USB-C sürümünde kablo değişir. Yalnız şarj kablosu olmaz.
Alternatif: Beti kısa ekranlı USB uzatma
Plan termin: 1-3 iş günü hedef</x:t>
        </x:r>
      </x:text>
    </x:comment>
    <x:comment ref="M19" authorId="0">
      <x:text>
        <x:r>
          <x:t>Mouser Türkiye / Neutrik bayi / 14.09.2026
https://www.mouser.com.tr/
Ödenek; Türkiye teslimi teklif gerekli
Ekranlı CAT6A dişi/dişi; üretici panel çizimi esas. PoE güç girişi değil.
Alternatif: Metal keystone CAT6A geçiş + ayrı plaka
Plan termin: 3-10 iş günü hedef</x:t>
        </x:r>
      </x:text>
    </x:comment>
    <x:comment ref="M20" authorId="0">
      <x:text>
        <x:r>
          <x:t>Yerel ağ tedariki / 14.09.2026
https://www.direnc.net/
Ödenek; Stok teyidi gerekli
Hazır sonlandırılmış, panel-PC arası; LAN testi yapılır.
Alternatif: CAT6A 0,5 m
Plan termin: 1-3 iş günü hedef</x:t>
        </x:r>
      </x:text>
    </x:comment>
    <x:comment ref="M21" authorId="0">
      <x:text>
        <x:r>
          <x:t>Mouser Türkiye / Neutrik bayi / 14.09.2026
https://www.mouser.com.tr/
Ödenek; Türkiye teslimi teklif gerekli
Dışta USB-A, içeride B yönü doğrulanır; servis amaçlı.
Alternatif: Hazır USB-A flanşlı panel uzatma
Plan termin: 3-10 iş günü hedef</x:t>
        </x:r>
      </x:text>
    </x:comment>
    <x:comment ref="M22" authorId="0">
      <x:text>
        <x:r>
          <x:t>Direnç / yerel kablo tedariki / 14.09.2026
https://www.direnc.net/
Ödenek; Stok teyidi gerekli
B14 yönüne uygun; V3 veri kablosundan ayrı.
Alternatif: B14 alternatifinin beraber gelen kablosu
Plan termin: 1-3 iş günü hedef</x:t>
        </x:r>
      </x:text>
    </x:comment>
    <x:comment ref="M23" authorId="0">
      <x:text>
        <x:r>
          <x:t>Noctua bayi / ithal tedarik / 14.09.2026
https://www.noctua.at/en/products/nf-a6x25-5v/specifications
Ödenek; Yerel stok doğrulanamadı
60×60×25 mm, 5 V, en fazla 0,26 A/adet; 12 V sürümü alınmaz.
Alternatif: 5 V 60 mm rulmanlı fan; debi/gürültü/RF testli
Plan termin: 5-15 iş günü hedef</x:t>
        </x:r>
      </x:text>
    </x:comment>
    <x:comment ref="M24" authorId="0">
      <x:text>
        <x:r>
          <x:t>Direnç / fan tedarikçisi / 14.09.2026
https://www.direnc.net/
Ödenek; Stok teyidi gerekli
Parmak koruması; 50×50 montaj; kasa IP iddiası verilmez.
Alternatif: Noctua NA-FG1-6 seti
Plan termin: 1-3 iş günü hedef</x:t>
        </x:r>
      </x:text>
    </x:comment>
    <x:comment ref="M25" authorId="0">
      <x:text>
        <x:r>
          <x:t>Kablo imalatçısı / fan tedarikçisi / 14.09.2026
https://www.direnc.net/
Ödenek; Numune ve teklif gerekli
Her fan ayrı yeterli akımlı 5 V USB beslemede; pin1 GND/pin2 +5 V. 9/12/20 V PD tetikleyici kullanılmaz.
Alternatif: Harici sertifikalı 5 V adaptör; port güç testi başarısızsa
Plan termin: 2-5 iş günü hedef</x:t>
        </x:r>
      </x:text>
    </x:comment>
    <x:comment ref="M26" authorId="0">
      <x:text>
        <x:r>
          <x:t>Robotistan / RP2040 bayi / 14.09.2026
https://www.robotistan.com/raspberry-pi-pico
Ödenek; Pico listesi tükendi; eşdeğer teklif
USB CDC; PWR/REC/LAN LED heartbeat. Pico liste 251,10 TL fakat stok yok; 400 TL net ödenek.
Alternatif: USB RP2040 eşdeğeri; firmware/pinout yeniden teyit
Plan termin: 1-5 iş günü hedef</x:t>
        </x:r>
      </x:text>
    </x:comment>
    <x:comment ref="M27" authorId="0">
      <x:text>
        <x:r>
          <x:t>Direnç / Robotistan / 14.09.2026
https://www.direnc.net/
Ödenek; Stok teyidi gerekli
3,3 V GPIO; her LED düşük akım, gerçek durum yazılımından; pull-down ve soketli kablo.
Alternatif: USB durum modülü için ayrı PCB
Plan termin: 1-3 iş günü hedef</x:t>
        </x:r>
      </x:text>
    </x:comment>
    <x:comment ref="M28" authorId="0">
      <x:text>
        <x:r>
          <x:t>Yerel 3D baskı / mekanik atölye / 14.09.2026
https://www.altinkaya.com/tr
Ödenek; PC numunesinden sonra
PC'nin kendi düğmesine basar; sabit basılı bırakmaz. Delik konumu PC ölçümüyle kesinleşir.
Alternatif: Ön servis kapağından orijinal düğmeye erişim
Plan termin: 1-3 iş günü hedef</x:t>
        </x:r>
      </x:text>
    </x:comment>
    <x:comment ref="M29" authorId="0">
      <x:text>
        <x:r>
          <x:t>Direnç / kablo aksesuarı / 14.09.2026
https://www.direnc.net/
Ödenek; Kablo çapı teyidi
Orijinal PC adaptörü kasanın dışında; kablo kesilmez. Kilitli DC konnektör sonraki revizyon.
Alternatif: Sökülebilir geçiş plakası + kauçuk grommet
Plan termin: 1-3 iş günü hedef</x:t>
        </x:r>
      </x:text>
    </x:comment>
    <x:comment ref="M30" authorId="0">
      <x:text>
        <x:r>
          <x:t>Altınkaya / Direnç / 14.09.2026
https://www.altinkaya.com/tr
Ödenek; Stok teyidi gerekli
Rack için çıkarılır; 10 mm hedef yükseklik.
Alternatif: Yapışkan ayak yalnız tezgâh prototipinde
Plan termin: 1-3 iş günü hedef</x:t>
        </x:r>
      </x:text>
    </x:comment>
    <x:comment ref="M31" authorId="0">
      <x:text>
        <x:r>
          <x:t>Yerel bağlantı elemanı tedariki / 14.09.2026
https://www.altinkaya.com/tr
Ödenek; Teklif bekliyor
M3×8 24; M3 somun 16; M3 standoff 8; M4×10 8; M4 nutplate 8; M6 rack vida/kafes 4; köşe braketleri B03'te.
Alternatif: Numune büküm/kaplama kalınlığına göre boy revizyonu
Plan termin: 1-3 iş günü hedef</x:t>
        </x:r>
      </x:text>
    </x:comment>
    <x:comment ref="M32" authorId="0">
      <x:text>
        <x:r>
          <x:t>Direnç / EMC malzeme tedariki / 14.09.2026
https://www.direnc.net/
Ödenek; Teklif bekliyor
3 kısa panel bağlama örgüsü, 4 ferrit, 1 M4 şasi saplaması, 20 bağ; RF testine göre ferrit seçimi.
Alternatif: RS/Mouser eşdeğer EMC malzemeleri
Plan termin: 1-3 iş günü hedef</x:t>
        </x:r>
      </x:text>
    </x:comment>
    <x:comment ref="M33" authorId="0">
      <x:text>
        <x:r>
          <x:t>Yerel ambalaj imalatçısı / 14.09.2026
https://www.altinkaya.com/tr
Ödenek; Teklif bekliyor
Ürün/adapter/kulak ayrı bölme; taşıma testiyle kalınlık teyidi.
Alternatif: Kesilmiş EPE + standart çift oluklu koli
Plan termin: 3-5 iş günü hedef</x:t>
        </x:r>
      </x:text>
    </x:comment>
    <x:comment ref="M34" authorId="0">
      <x:text>
        <x:r>
          <x:t>BİEM / sözleşmeli montaj / 14.09.2026
https://www.altinkaya.com/tr
Ödenek; İşçilik plan ödeneği
RF saha kabulü ve yazılım geliştirme bu işçiliğe dahil değil.
Alternatif: BİEM iç kaynak: nakit maliyeti ayrıca değiştir
Plan termin: 2 iş günü hedef</x:t>
        </x:r>
      </x:text>
    </x:comment>
    <x:comment ref="M35" authorId="0">
      <x:text>
        <x:r>
          <x:t>Tedarikçiler / 14.09.2026
https://www.altinkaya.com/tr
Ödenek; Teklif bekliyor
İthal kargo/vergi/gümrük bu ödeneğe dahil değil; ithal ikame varsa eklenir.
Alternatif: Yerelden teslim alma
Plan termin: Sevke bağlı</x:t>
        </x:r>
      </x:text>
    </x:comment>
    <x:comment ref="M36" authorId="0">
      <x:text>
        <x:r>
          <x:t>Yerel rack kabin tedarikçisi / 14.09.2026
https://www.mouser.com.tr/
Ödenek; Teklif bekliyor
Rack kurulum seti; gövdeyi alttan destekler. Raf + cihaz toplam düşey açıklığı rack'te kontrol edilir.
Alternatif: 4 direk destek rayı; yük belgesine göre
Plan termin: 1-3 iş günü hedef</x:t>
        </x:r>
      </x:text>
    </x:comment>
    <x:comment ref="M37" authorId="0">
      <x:text>
        <x:r>
          <x:t>Yerel kablo tedariki / 14.09.2026
https://www.direnc.net/
Ödenek; Numune/konnektör kesiti gerekli
Ön servis kapağında; ilk kurulum veya kurtarma ekranı için. Normal kayıt ekran gerektirmez.
Alternatif: Kapağı açıp PC'nin kendi HDMI'sine erişim
Plan termin: 1-3 iş günü hedef</x:t>
        </x:r>
      </x:text>
    </x:comment>
    <x:comment ref="M51" authorId="0">
      <x:text>
        <x:r>
          <x:t>https://www.dvsinc.com/products/price.shtml</x:t>
        </x:r>
      </x:text>
    </x:comment>
    <x:comment ref="M53" authorId="0">
      <x:text>
        <x:r>
          <x:t>https://learn.microsoft.com/en-us/windows/iot/iot-enterprise/commercialization/licensing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0"/>
    <x:numFmt numFmtId="202" formatCode="yyyy-mm-dd"/>
    <x:numFmt numFmtId="203" formatCode="#,##0.00;(#,##0.00);&quot;-&quot;"/>
    <x:numFmt numFmtId="204" formatCode="0.0"/>
    <x:numFmt numFmtId="205" formatCode="#,##0.00"/>
  </x:numFmts>
  <x:fonts count="11">
    <x:font>
      <x:sz val="11"/>
      <x:name val="Carlito"/>
    </x:font>
    <x:font>
      <x:sz val="11"/>
      <x:color rgb="FF203449"/>
      <x:name val="Arial"/>
    </x:font>
    <x:font>
      <x:b/>
      <x:sz val="16"/>
      <x:color rgb="FF203449"/>
      <x:name val="Arial"/>
    </x:font>
    <x:font>
      <x:b/>
      <x:sz val="11"/>
      <x:color rgb="FF203449"/>
      <x:name val="Arial"/>
    </x:font>
    <x:font>
      <x:sz val="11"/>
      <x:color rgb="FF155CC0"/>
      <x:name val="Arial"/>
    </x:font>
    <x:font>
      <x:b/>
      <x:sz val="11"/>
      <x:color rgb="FFAF5222"/>
      <x:name val="Arial"/>
    </x:font>
    <x:font>
      <x:b/>
      <x:sz val="11"/>
      <x:color rgb="FFFFFFFF"/>
      <x:name val="Arial"/>
    </x:font>
    <x:font>
      <x:sz val="11"/>
      <x:color rgb="FF23714D"/>
      <x:name val="Arial"/>
    </x:font>
    <x:font>
      <x:sz val="11"/>
      <x:color rgb="FF151515"/>
      <x:name val="Arial"/>
    </x:font>
    <x:font>
      <x:sz val="10"/>
      <x:color rgb="FF155CC0"/>
      <x:name val="Arial"/>
    </x:font>
    <x:font>
      <x:b/>
      <x:sz val="11"/>
      <x:color rgb="FF9C294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8EDF1"/>
      </x:patternFill>
    </x:fill>
    <x:fill>
      <x:patternFill patternType="solid">
        <x:fgColor rgb="FFFFF2CF"/>
      </x:patternFill>
    </x:fill>
    <x:fill>
      <x:patternFill patternType="solid">
        <x:fgColor rgb="FF203449"/>
      </x:patternFill>
    </x:fill>
    <x:fill>
      <x:patternFill patternType="solid">
        <x:fgColor rgb="FFF3F5F7"/>
      </x:patternFill>
    </x:fill>
  </x:fills>
  <x:borders count="3">
    <x:border/>
    <x:border>
      <x:bottom style="thin">
        <x:color rgb="FF9C2942"/>
      </x:bottom>
    </x:border>
    <x:border>
      <x:top style="thin">
        <x:color rgb="FFA4B0B9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3" fillId="2" borderId="2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3" fontId="8" fillId="5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203" fontId="1" fillId="2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4" fontId="4" fillId="3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5" fontId="1" fillId="2" borderId="0" xfId="0" applyNumberFormat="1" applyFont="1" applyFill="1" applyBorder="1" applyAlignment="1">
      <x:alignment vertical="center"/>
    </x:xf>
    <x:xf numFmtId="205" fontId="3" fillId="2" borderId="0" xfId="0" applyNumberFormat="1" applyFont="1" applyFill="1" applyBorder="1" applyAlignment="1">
      <x:alignment vertical="center"/>
    </x:xf>
    <x:xf numFmtId="205" fontId="3" fillId="2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70e23ad322493a" /><Relationship Type="http://schemas.openxmlformats.org/officeDocument/2006/relationships/theme" Target="/xl/theme/theme1.xml" Id="R8251fe362bae4a53" /><Relationship Type="http://schemas.openxmlformats.org/officeDocument/2006/relationships/sharedStrings" Target="/xl/sharedStrings.xml" Id="Rd12b496d09674bb5" /><Relationship Type="http://schemas.openxmlformats.org/officeDocument/2006/relationships/worksheet" Target="/xl/worksheets/sheet1.xml" Id="R53bca17cf7cd47eb" /><Relationship Type="http://schemas.openxmlformats.org/officeDocument/2006/relationships/worksheet" Target="/xl/worksheets/sheet2.xml" Id="R7e2facacbe1744da" /><Relationship Type="http://schemas.openxmlformats.org/officeDocument/2006/relationships/worksheet" Target="/xl/worksheets/sheet3.xml" Id="R84e3f2095e144c70" /><Relationship Type="http://schemas.openxmlformats.org/officeDocument/2006/relationships/worksheet" Target="/xl/worksheets/sheet4.xml" Id="R3a8690c4085345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e8ded6ecb5a14cc0" /><Relationship Type="http://schemas.openxmlformats.org/officeDocument/2006/relationships/vmlDrawing" Target="/xl/drawings/vmldrawing.vml" Id="R4a79dcded2c848df" /></Relationships>
</file>

<file path=xl/worksheets/sheet1.xml><?xml version="1.0" encoding="utf-8"?>
<x:worksheet xmlns:x="http://schemas.openxmlformats.org/spreadsheetml/2006/main">
  <x:sheetPr>
    <x:tabColor rgb="FF203449"/>
  </x:sheetPr>
  <x:sheetViews>
    <x:sheetView showGridLines="0" workbookViewId="0"/>
  </x:sheetViews>
  <x:sheetFormatPr defaultRowHeight="15"/>
  <x:cols>
    <x:col min="1" max="1" width="48" hidden="0" customWidth="1"/>
    <x:col min="2" max="2" width="24" hidden="0" customWidth="1"/>
    <x:col min="3" max="3" width="4" hidden="0" customWidth="1"/>
    <x:col min="4" max="4" width="41" hidden="0" customWidth="1"/>
    <x:col min="5" max="5" width="23" hidden="0" customWidth="1"/>
  </x:cols>
  <x:sheetData>
    <x:row r="1" ht="25" customHeight="1">
      <x:c r="A1" s="2"/>
      <x:c r="B1" s="2"/>
      <x:c r="C1" s="2"/>
      <x:c r="D1" s="2"/>
      <x:c r="E1" s="2"/>
    </x:row>
    <x:row r="2" ht="25" customHeight="1">
      <x:c r="A2" s="3" t="str">
        <x:v>BM-ICC-08 / Prototip bütçesi</x:v>
      </x:c>
      <x:c r="B2" s="2"/>
      <x:c r="C2" s="2"/>
      <x:c r="D2" s="2"/>
      <x:c r="E2" s="2"/>
    </x:row>
    <x:row r="3" ht="25" customHeight="1">
      <x:c r="A3" s="4"/>
      <x:c r="B3" s="4"/>
      <x:c r="C3" s="4"/>
      <x:c r="D3" s="4"/>
      <x:c r="E3" s="4"/>
    </x:row>
    <x:row r="4" ht="25" customHeight="1">
      <x:c r="A4" s="2" t="str">
        <x:v>Rev A · 14.09.2026 · TRY · Teklif ve sipariş değildir</x:v>
      </x:c>
      <x:c r="B4" s="2"/>
      <x:c r="C4" s="2"/>
      <x:c r="D4" s="2"/>
      <x:c r="E4" s="2"/>
    </x:row>
    <x:row r="5" ht="25" customHeight="1">
      <x:c r="A5" s="2"/>
      <x:c r="B5" s="2"/>
      <x:c r="C5" s="2"/>
      <x:c r="D5" s="6" t="str">
        <x:v>Düzenlenebilir varsayımlar</x:v>
      </x:c>
      <x:c r="E5" s="6"/>
    </x:row>
    <x:row r="6" ht="25" customHeight="1">
      <x:c r="A6" s="2" t="str">
        <x:v>Malzeme + montaj, net</x:v>
      </x:c>
      <x:c r="B6" s="14" t="n">
        <x:f>'BOM'!G40</x:f>
        <x:v>79356.19166666667</x:v>
      </x:c>
      <x:c r="C6" s="2"/>
      <x:c r="D6" s="2" t="str">
        <x:v>Varsayılan KDV</x:v>
      </x:c>
      <x:c r="E6" s="9" t="n">
        <x:v>0.2</x:v>
      </x:c>
    </x:row>
    <x:row r="7" ht="25" customHeight="1">
      <x:c r="A7" s="2" t="str">
        <x:v>KDV (varsayım)</x:v>
      </x:c>
      <x:c r="B7" s="14" t="n">
        <x:f>'BOM'!G41</x:f>
        <x:v>15871.238333333327</x:v>
      </x:c>
      <x:c r="C7" s="2"/>
      <x:c r="D7" s="2" t="str">
        <x:v>Prototip risk payı</x:v>
      </x:c>
      <x:c r="E7" s="9" t="n">
        <x:v>0.2</x:v>
      </x:c>
    </x:row>
    <x:row r="8" ht="25" customHeight="1">
      <x:c r="A8" s="2" t="str">
        <x:v>Bir prototip, KDV dahil</x:v>
      </x:c>
      <x:c r="B8" s="14" t="n">
        <x:f>'BOM'!G42</x:f>
        <x:v>95227.43</x:v>
      </x:c>
      <x:c r="C8" s="2"/>
      <x:c r="D8" s="2" t="str">
        <x:v>Toplam plan adedi (prototip dahil)</x:v>
      </x:c>
      <x:c r="E8" s="10" t="n">
        <x:v>10</x:v>
      </x:c>
    </x:row>
    <x:row r="9" ht="25" customHeight="1">
      <x:c r="A9" s="2" t="str">
        <x:v>Risk payı</x:v>
      </x:c>
      <x:c r="B9" s="14" t="n">
        <x:f>'BOM'!G43</x:f>
        <x:v>19045.486</x:v>
      </x:c>
      <x:c r="C9" s="2"/>
      <x:c r="D9" s="2" t="str">
        <x:v>Fiyat kontrol tarihi</x:v>
      </x:c>
      <x:c r="E9" s="11" t="n">
        <x:v>46279</x:v>
      </x:c>
    </x:row>
    <x:row r="10" ht="25" customHeight="1">
      <x:c r="A10" s="12" t="str">
        <x:v>Prototip için ayrılacak ödenek</x:v>
      </x:c>
      <x:c r="B10" s="15" t="n">
        <x:f>'BOM'!G44</x:f>
        <x:v>114272.916</x:v>
      </x:c>
      <x:c r="C10" s="2"/>
      <x:c r="D10" s="2"/>
      <x:c r="E10" s="2"/>
    </x:row>
    <x:row r="11" ht="25" customHeight="1">
      <x:c r="A11" s="2"/>
      <x:c r="B11" s="14"/>
      <x:c r="C11" s="2"/>
      <x:c r="D11" s="2"/>
      <x:c r="E11" s="2"/>
    </x:row>
    <x:row r="12" ht="25" customHeight="1">
      <x:c r="A12" s="2"/>
      <x:c r="B12" s="14"/>
      <x:c r="C12" s="2"/>
      <x:c r="D12" s="2" t="str">
        <x:v>Fiyat durumu</x:v>
      </x:c>
      <x:c r="E12" s="2"/>
    </x:row>
    <x:row r="13" ht="25" customHeight="1">
      <x:c r="A13" s="2" t="str">
        <x:v>Ürünleştirme / test, net ödenek</x:v>
      </x:c>
      <x:c r="B13" s="14" t="n">
        <x:f>'Gelistirme'!E18</x:f>
        <x:v>414500</x:v>
      </x:c>
      <x:c r="C13" s="2"/>
      <x:c r="D13" s="2" t="str">
        <x:v>İki ana parça fiyatı web gözlemidir.</x:v>
      </x:c>
      <x:c r="E13" s="2"/>
    </x:row>
    <x:row r="14" ht="25" customHeight="1">
      <x:c r="A14" s="2" t="str">
        <x:v>Ürünleştirme / test, KDV dahil</x:v>
      </x:c>
      <x:c r="B14" s="14" t="n">
        <x:f>'Gelistirme'!E20</x:f>
        <x:v>497400</x:v>
      </x:c>
      <x:c r="C14" s="2"/>
      <x:c r="D14" s="2" t="str">
        <x:v>Diğer tutarlar düzenlenebilir ödenektir.</x:v>
      </x:c>
      <x:c r="E14" s="2"/>
    </x:row>
    <x:row r="15" ht="25" customHeight="1">
      <x:c r="A15" s="2"/>
      <x:c r="B15" s="14"/>
      <x:c r="C15" s="2"/>
      <x:c r="D15" s="2"/>
      <x:c r="E15" s="2"/>
    </x:row>
    <x:row r="16" ht="25" customHeight="1">
      <x:c r="A16" s="2" t="str">
        <x:v>Ticari lisans maliyeti</x:v>
      </x:c>
      <x:c r="B16" s="16" t="str">
        <x:f>'BOM'!G55</x:f>
        <x:v>TEKLİF BEKLİYOR</x:v>
      </x:c>
      <x:c r="C16" s="2"/>
      <x:c r="D16" s="2" t="str">
        <x:v>L01 AMBE · L02 TETRA · L03 IoT OEM</x:v>
      </x:c>
      <x:c r="E16" s="2"/>
    </x:row>
    <x:row r="17" ht="25" customHeight="1">
      <x:c r="A17" s="2"/>
      <x:c r="B17" s="14"/>
      <x:c r="C17" s="2"/>
      <x:c r="D17" s="2" t="str">
        <x:v>Teklif gelmeden ticari toplam kesinleşmez.</x:v>
      </x:c>
      <x:c r="E17" s="2"/>
    </x:row>
    <x:row r="18" ht="25" customHeight="1">
      <x:c r="A18" s="2"/>
      <x:c r="B18" s="14"/>
      <x:c r="C18" s="2"/>
      <x:c r="D18" s="2"/>
      <x:c r="E18" s="2"/>
    </x:row>
    <x:row r="19" ht="25" customHeight="1">
      <x:c r="A19" s="2" t="str">
        <x:v>Plan adedi için cihaz ödeneği</x:v>
      </x:c>
      <x:c r="B19" s="14" t="n">
        <x:f>'BOM'!G59</x:f>
        <x:v>1142729.16</x:v>
      </x:c>
      <x:c r="C19" s="2"/>
      <x:c r="D19" s="2"/>
      <x:c r="E19" s="2"/>
    </x:row>
    <x:row r="20" ht="25" customHeight="1">
      <x:c r="A20" s="2" t="str">
        <x:v>Bir defalık ürünleştirme ödeneği</x:v>
      </x:c>
      <x:c r="B20" s="14" t="n">
        <x:f>'Gelistirme'!E20</x:f>
        <x:v>497400</x:v>
      </x:c>
      <x:c r="C20" s="2"/>
      <x:c r="D20" s="2" t="str">
        <x:v>Seri adet indirimi varsayılmadı.</x:v>
      </x:c>
      <x:c r="E20" s="2"/>
    </x:row>
    <x:row r="21" ht="25" customHeight="1">
      <x:c r="A21" s="12" t="str">
        <x:v>Planlanan toplam / lisanslar hariç</x:v>
      </x:c>
      <x:c r="B21" s="15" t="n">
        <x:f>'BOM'!G59+'Gelistirme'!E20</x:f>
        <x:v>1640129.16</x:v>
      </x:c>
      <x:c r="C21" s="2"/>
      <x:c r="D21" s="2" t="str">
        <x:v>Plan adedi ilk prototipi de içerir.</x:v>
      </x:c>
      <x:c r="E21" s="2"/>
    </x:row>
    <x:row r="22" ht="25" customHeight="1">
      <x:c r="A22" s="2"/>
      <x:c r="B22" s="2"/>
      <x:c r="C22" s="2"/>
      <x:c r="D22" s="2"/>
      <x:c r="E22" s="2"/>
    </x:row>
    <x:row r="23" ht="25" customHeight="1">
      <x:c r="A23" s="2"/>
      <x:c r="B23" s="2"/>
      <x:c r="C23" s="2"/>
      <x:c r="D23" s="2"/>
      <x:c r="E23" s="2"/>
    </x:row>
    <x:row r="24" ht="25" customHeight="1">
      <x:c r="A24" s="2" t="str">
        <x:v>Kapsam: ekransız cihaz + iki SDR + rack seti + montaj.</x:v>
      </x:c>
      <x:c r="B24" s="2"/>
      <x:c r="C24" s="2"/>
      <x:c r="D24" s="2"/>
      <x:c r="E24" s="2"/>
    </x:row>
    <x:row r="25" ht="25" customHeight="1">
      <x:c r="A25" s="2" t="str">
        <x:v>Anten, UPS, ekran, PoC/API ve ithal ek giderleri kapsam dışı.</x:v>
      </x:c>
      <x:c r="B25" s="2"/>
      <x:c r="C25" s="2"/>
      <x:c r="D25" s="2"/>
      <x:c r="E25" s="2"/>
    </x:row>
    <x:row r="26" ht="25" customHeight="1">
      <x:c r="A26" s="2" t="str">
        <x:v>Mevcut PC ile ilk test: yalnız 1 V3 ve kısa USB kabloyla başlanabilir.</x:v>
      </x:c>
      <x:c r="B26" s="2"/>
      <x:c r="C26" s="2"/>
      <x:c r="D26" s="2"/>
      <x:c r="E26" s="2"/>
    </x:row>
    <x:row r="27" ht="25" customHeight="1">
      <x:c r="A27" s="2"/>
      <x:c r="B27" s="2"/>
      <x:c r="C27" s="2"/>
      <x:c r="D27" s="2"/>
      <x:c r="E27" s="2"/>
    </x:row>
    <x:row r="28" ht="25" customHeight="1">
      <x:c r="A28" s="2" t="str">
        <x:v>Mavi sayılar girdidir. Ürünleştirme bedelleri satıcı teklifi değildir.</x:v>
      </x:c>
      <x:c r="B28" s="2"/>
      <x:c r="C28" s="2"/>
      <x:c r="D28" s="2"/>
      <x:c r="E28" s="2"/>
    </x:row>
    <x:row r="29" ht="25" customHeight="1">
      <x:c r="A29" s="2"/>
      <x:c r="B29" s="2"/>
      <x:c r="C29" s="2"/>
      <x:c r="D29" s="2"/>
      <x:c r="E29" s="2"/>
    </x:row>
  </x:sheetData>
  <x:dataValidations count="1">
    <x:dataValidation type="whole" operator="between" sqref="E8">
      <x:formula1>1</x:formula1>
      <x:formula2>1000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7" hidden="0" customWidth="1"/>
    <x:col min="2" max="2" width="53" hidden="0" customWidth="1"/>
    <x:col min="3" max="3" width="7" hidden="0" customWidth="1"/>
    <x:col min="4" max="4" width="16" hidden="0" customWidth="1"/>
    <x:col min="5" max="5" width="12" hidden="0" customWidth="1"/>
    <x:col min="6" max="6" width="10" hidden="0" customWidth="1"/>
    <x:col min="7" max="7" width="21" hidden="0" customWidth="1"/>
    <x:col min="8" max="8" width="21" hidden="0" customWidth="1"/>
    <x:col min="9" max="9" width="18" hidden="0" customWidth="1"/>
    <x:col min="10" max="10" width="38" hidden="0" customWidth="1"/>
    <x:col min="11" max="11" width="28" hidden="0" customWidth="1"/>
    <x:col min="12" max="12" width="3" hidden="0" customWidth="1"/>
    <x:col min="13" max="13" width="3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3" t="str">
        <x:v>BM-ICC-08 / Malzeme ve tedarik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25" customHeight="1">
      <x:c r="A4" s="2" t="str">
        <x:v>Fiyat tarihi 14.09.2026. E sütunu: 1 = KDV dahil fiyat, 0 = KDV hariç fiyat.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2" t="str">
        <x:v>Stok, adet ve gönderim tarihi satıcıdan teyit edilir; görünen fiyat rezervasyon değildir.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5" customHeight="1">
      <x:c r="A6" s="2" t="str">
        <x:v>Bağlantı, teknik şart ve alternatif için M sütunundaki hücre notunu açın.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31" customHeight="1">
      <x:c r="A7" s="19" t="str">
        <x:v>Kod</x:v>
      </x:c>
      <x:c r="B7" s="19" t="str">
        <x:v>Malzeme / tam ürün kodu</x:v>
      </x:c>
      <x:c r="C7" s="19" t="str">
        <x:v>Adet</x:v>
      </x:c>
      <x:c r="D7" s="19" t="str">
        <x:v>Birim fiyat TL</x:v>
      </x:c>
      <x:c r="E7" s="19" t="str">
        <x:v>KDV dahil?</x:v>
      </x:c>
      <x:c r="F7" s="19" t="str">
        <x:v>KDV</x:v>
      </x:c>
      <x:c r="G7" s="19" t="str">
        <x:v>Net TL</x:v>
      </x:c>
      <x:c r="H7" s="19" t="str">
        <x:v>Brüt TL</x:v>
      </x:c>
      <x:c r="I7" s="19" t="str">
        <x:v>Fiyat temeli</x:v>
      </x:c>
      <x:c r="J7" s="19" t="str">
        <x:v>Stok / teklif durumu</x:v>
      </x:c>
      <x:c r="K7" s="19" t="str">
        <x:v>Tedarikçi</x:v>
      </x:c>
      <x:c r="L7" s="2"/>
      <x:c r="M7" s="20" t="str">
        <x:v>Kaynak (hücre notu)</x:v>
      </x:c>
    </x:row>
    <x:row r="8" ht="37" customHeight="1">
      <x:c r="A8" s="2" t="str">
        <x:v>B01</x:v>
      </x:c>
      <x:c r="B8" s="21" t="str">
        <x:v>GEEKOM IT13 / GKM-MINI-IT13-G32-T1</x:v>
      </x:c>
      <x:c r="C8" s="10" t="n">
        <x:v>1</x:v>
      </x:c>
      <x:c r="D8" s="28" t="n">
        <x:v>53999.17</x:v>
      </x:c>
      <x:c r="E8" s="8" t="n">
        <x:v>1</x:v>
      </x:c>
      <x:c r="F8" s="29" t="n">
        <x:f>'Ozet'!$E$6</x:f>
        <x:v>0.2</x:v>
      </x:c>
      <x:c r="G8" s="31" t="n">
        <x:f>C8*D8/(1+E8*F8)</x:f>
        <x:v>44999.308333333334</x:v>
      </x:c>
      <x:c r="H8" s="31" t="n">
        <x:f>G8*(1+F8)</x:f>
        <x:v>53999.17</x:v>
      </x:c>
      <x:c r="I8" s="34" t="str">
        <x:v>Web gözlemi</x:v>
      </x:c>
      <x:c r="J8" s="21" t="str">
        <x:v>Stokta var; adet/termin teyit</x:v>
      </x:c>
      <x:c r="K8" s="21" t="str">
        <x:v>MinikPC</x:v>
      </x:c>
      <x:c r="L8" s="2"/>
      <x:c r="M8" s="33" t="str">
        <x:v>Kaynak · B01 · 14.09.2026</x:v>
      </x:c>
    </x:row>
    <x:row r="9" ht="37" customHeight="1">
      <x:c r="A9" s="22" t="str">
        <x:v>B02</x:v>
      </x:c>
      <x:c r="B9" s="23" t="str">
        <x:v>Gerçek RTL-SDR Blog V3, Beti 151.02</x:v>
      </x:c>
      <x:c r="C9" s="10" t="n">
        <x:v>2</x:v>
      </x:c>
      <x:c r="D9" s="28" t="n">
        <x:v>6430.13</x:v>
      </x:c>
      <x:c r="E9" s="8" t="n">
        <x:v>1</x:v>
      </x:c>
      <x:c r="F9" s="30" t="n">
        <x:f>'Ozet'!$E$6</x:f>
        <x:v>0.2</x:v>
      </x:c>
      <x:c r="G9" s="32" t="n">
        <x:f>C9*D9/(1+E9*F9)</x:f>
        <x:v>10716.883333333333</x:v>
      </x:c>
      <x:c r="H9" s="32" t="n">
        <x:f>G9*(1+F9)</x:f>
        <x:v>12860.26</x:v>
      </x:c>
      <x:c r="I9" s="35" t="str">
        <x:v>Web gözlemi</x:v>
      </x:c>
      <x:c r="J9" s="23" t="str">
        <x:v>Sepete açık; stok adedi yok</x:v>
      </x:c>
      <x:c r="K9" s="23" t="str">
        <x:v>Beti</x:v>
      </x:c>
      <x:c r="L9" s="2"/>
      <x:c r="M9" s="33" t="str">
        <x:v>Kaynak · B02 · 14.09.2026</x:v>
      </x:c>
    </x:row>
    <x:row r="10" ht="37" customHeight="1">
      <x:c r="A10" s="2" t="str">
        <x:v>B03</x:v>
      </x:c>
      <x:c r="B10" s="21" t="str">
        <x:v>BIEM-C01 gövde + kapak + 2 panel</x:v>
      </x:c>
      <x:c r="C10" s="10" t="n">
        <x:v>1</x:v>
      </x:c>
      <x:c r="D10" s="28" t="n">
        <x:v>6500</x:v>
      </x:c>
      <x:c r="E10" s="8" t="n">
        <x:v>0</x:v>
      </x:c>
      <x:c r="F10" s="29" t="n">
        <x:f>'Ozet'!$E$6</x:f>
        <x:v>0.2</x:v>
      </x:c>
      <x:c r="G10" s="31" t="n">
        <x:f>C10*D10/(1+E10*F10)</x:f>
        <x:v>6500</x:v>
      </x:c>
      <x:c r="H10" s="31" t="n">
        <x:f>G10*(1+F10)</x:f>
        <x:v>7800</x:v>
      </x:c>
      <x:c r="I10" s="34" t="str">
        <x:v>Ödenek</x:v>
      </x:c>
      <x:c r="J10" s="21" t="str">
        <x:v>Teklif bekliyor</x:v>
      </x:c>
      <x:c r="K10" s="21" t="str">
        <x:v>Altınkaya / yerel lazer-büküm</x:v>
      </x:c>
      <x:c r="L10" s="2"/>
      <x:c r="M10" s="33" t="str">
        <x:v>Kaynak · B03 · 14.09.2026</x:v>
      </x:c>
    </x:row>
    <x:row r="11" ht="37" customHeight="1">
      <x:c r="A11" s="22" t="str">
        <x:v>B04</x:v>
      </x:c>
      <x:c r="B11" s="23" t="str">
        <x:v>BIEM-C05 L/R kulak seti</x:v>
      </x:c>
      <x:c r="C11" s="10" t="n">
        <x:v>1</x:v>
      </x:c>
      <x:c r="D11" s="28" t="n">
        <x:v>1300</x:v>
      </x:c>
      <x:c r="E11" s="8" t="n">
        <x:v>0</x:v>
      </x:c>
      <x:c r="F11" s="30" t="n">
        <x:f>'Ozet'!$E$6</x:f>
        <x:v>0.2</x:v>
      </x:c>
      <x:c r="G11" s="32" t="n">
        <x:f>C11*D11/(1+E11*F11)</x:f>
        <x:v>1300</x:v>
      </x:c>
      <x:c r="H11" s="32" t="n">
        <x:f>G11*(1+F11)</x:f>
        <x:v>1560</x:v>
      </x:c>
      <x:c r="I11" s="35" t="str">
        <x:v>Ödenek</x:v>
      </x:c>
      <x:c r="J11" s="23" t="str">
        <x:v>Teklif bekliyor</x:v>
      </x:c>
      <x:c r="K11" s="23" t="str">
        <x:v>Altınkaya / yerel lazer-büküm</x:v>
      </x:c>
      <x:c r="L11" s="2"/>
      <x:c r="M11" s="33" t="str">
        <x:v>Kaynak · B04 · 14.09.2026</x:v>
      </x:c>
    </x:row>
    <x:row r="12" ht="37" customHeight="1">
      <x:c r="A12" s="2" t="str">
        <x:v>B05</x:v>
      </x:c>
      <x:c r="B12" s="21" t="str">
        <x:v>Ön UV/laser baskı + seri etiket</x:v>
      </x:c>
      <x:c r="C12" s="10" t="n">
        <x:v>1</x:v>
      </x:c>
      <x:c r="D12" s="28" t="n">
        <x:v>600</x:v>
      </x:c>
      <x:c r="E12" s="8" t="n">
        <x:v>0</x:v>
      </x:c>
      <x:c r="F12" s="29" t="n">
        <x:f>'Ozet'!$E$6</x:f>
        <x:v>0.2</x:v>
      </x:c>
      <x:c r="G12" s="31" t="n">
        <x:f>C12*D12/(1+E12*F12)</x:f>
        <x:v>600</x:v>
      </x:c>
      <x:c r="H12" s="31" t="n">
        <x:f>G12*(1+F12)</x:f>
        <x:v>720</x:v>
      </x:c>
      <x:c r="I12" s="34" t="str">
        <x:v>Ödenek</x:v>
      </x:c>
      <x:c r="J12" s="21" t="str">
        <x:v>Teklif bekliyor</x:v>
      </x:c>
      <x:c r="K12" s="21" t="str">
        <x:v>Altınkaya</x:v>
      </x:c>
      <x:c r="L12" s="2"/>
      <x:c r="M12" s="33" t="str">
        <x:v>Kaynak · B05 · 14.09.2026</x:v>
      </x:c>
    </x:row>
    <x:row r="13" ht="37" customHeight="1">
      <x:c r="A13" s="22" t="str">
        <x:v>B06</x:v>
      </x:c>
      <x:c r="B13" s="23" t="str">
        <x:v>BIEM-C06 300×200×2 mm iç tabla</x:v>
      </x:c>
      <x:c r="C13" s="10" t="n">
        <x:v>1</x:v>
      </x:c>
      <x:c r="D13" s="28" t="n">
        <x:v>650</x:v>
      </x:c>
      <x:c r="E13" s="8" t="n">
        <x:v>0</x:v>
      </x:c>
      <x:c r="F13" s="30" t="n">
        <x:f>'Ozet'!$E$6</x:f>
        <x:v>0.2</x:v>
      </x:c>
      <x:c r="G13" s="32" t="n">
        <x:f>C13*D13/(1+E13*F13)</x:f>
        <x:v>650</x:v>
      </x:c>
      <x:c r="H13" s="32" t="n">
        <x:f>G13*(1+F13)</x:f>
        <x:v>780</x:v>
      </x:c>
      <x:c r="I13" s="35" t="str">
        <x:v>Ödenek</x:v>
      </x:c>
      <x:c r="J13" s="23" t="str">
        <x:v>Teklif bekliyor</x:v>
      </x:c>
      <x:c r="K13" s="23" t="str">
        <x:v>Altınkaya / lazer atölyesi</x:v>
      </x:c>
      <x:c r="L13" s="2"/>
      <x:c r="M13" s="33" t="str">
        <x:v>Kaynak · B06 · 14.09.2026</x:v>
      </x:c>
    </x:row>
    <x:row r="14" ht="37" customHeight="1">
      <x:c r="A14" s="2" t="str">
        <x:v>B07</x:v>
      </x:c>
      <x:c r="B14" s="21" t="str">
        <x:v>L braket, 2 mm Al</x:v>
      </x:c>
      <x:c r="C14" s="10" t="n">
        <x:v>2</x:v>
      </x:c>
      <x:c r="D14" s="28" t="n">
        <x:v>150</x:v>
      </x:c>
      <x:c r="E14" s="8" t="n">
        <x:v>0</x:v>
      </x:c>
      <x:c r="F14" s="29" t="n">
        <x:f>'Ozet'!$E$6</x:f>
        <x:v>0.2</x:v>
      </x:c>
      <x:c r="G14" s="31" t="n">
        <x:f>C14*D14/(1+E14*F14)</x:f>
        <x:v>300</x:v>
      </x:c>
      <x:c r="H14" s="31" t="n">
        <x:f>G14*(1+F14)</x:f>
        <x:v>360</x:v>
      </x:c>
      <x:c r="I14" s="34" t="str">
        <x:v>Ödenek</x:v>
      </x:c>
      <x:c r="J14" s="21" t="str">
        <x:v>Teklif bekliyor</x:v>
      </x:c>
      <x:c r="K14" s="21" t="str">
        <x:v>Yerel lazer-büküm</x:v>
      </x:c>
      <x:c r="L14" s="2"/>
      <x:c r="M14" s="33" t="str">
        <x:v>Kaynak · B07 · 14.09.2026</x:v>
      </x:c>
    </x:row>
    <x:row r="15" ht="37" customHeight="1">
      <x:c r="A15" s="22" t="str">
        <x:v>B08</x:v>
      </x:c>
      <x:c r="B15" s="23" t="str">
        <x:v>Ayarlı metal kelepçe</x:v>
      </x:c>
      <x:c r="C15" s="10" t="n">
        <x:v>2</x:v>
      </x:c>
      <x:c r="D15" s="28" t="n">
        <x:v>100</x:v>
      </x:c>
      <x:c r="E15" s="8" t="n">
        <x:v>0</x:v>
      </x:c>
      <x:c r="F15" s="30" t="n">
        <x:f>'Ozet'!$E$6</x:f>
        <x:v>0.2</x:v>
      </x:c>
      <x:c r="G15" s="32" t="n">
        <x:f>C15*D15/(1+E15*F15)</x:f>
        <x:v>200</x:v>
      </x:c>
      <x:c r="H15" s="32" t="n">
        <x:f>G15*(1+F15)</x:f>
        <x:v>240</x:v>
      </x:c>
      <x:c r="I15" s="35" t="str">
        <x:v>Ödenek</x:v>
      </x:c>
      <x:c r="J15" s="23" t="str">
        <x:v>Teklif bekliyor</x:v>
      </x:c>
      <x:c r="K15" s="23" t="str">
        <x:v>Yerel lazer-büküm</x:v>
      </x:c>
      <x:c r="L15" s="2"/>
      <x:c r="M15" s="33" t="str">
        <x:v>Kaynak · B08 · 14.09.2026</x:v>
      </x:c>
    </x:row>
    <x:row r="16" ht="37" customHeight="1">
      <x:c r="A16" s="2" t="str">
        <x:v>B09</x:v>
      </x:c>
      <x:c r="B16" s="21" t="str">
        <x:v>SMA erkek - SMA dişi bulkhead / RG316</x:v>
      </x:c>
      <x:c r="C16" s="10" t="n">
        <x:v>2</x:v>
      </x:c>
      <x:c r="D16" s="28" t="n">
        <x:v>350</x:v>
      </x:c>
      <x:c r="E16" s="8" t="n">
        <x:v>0</x:v>
      </x:c>
      <x:c r="F16" s="29" t="n">
        <x:f>'Ozet'!$E$6</x:f>
        <x:v>0.2</x:v>
      </x:c>
      <x:c r="G16" s="31" t="n">
        <x:f>C16*D16/(1+E16*F16)</x:f>
        <x:v>700</x:v>
      </x:c>
      <x:c r="H16" s="31" t="n">
        <x:f>G16*(1+F16)</x:f>
        <x:v>840</x:v>
      </x:c>
      <x:c r="I16" s="34" t="str">
        <x:v>Ödenek</x:v>
      </x:c>
      <x:c r="J16" s="21" t="str">
        <x:v>Teklif bekliyor</x:v>
      </x:c>
      <x:c r="K16" s="21" t="str">
        <x:v>Beti / RF kablo imalatçısı</x:v>
      </x:c>
      <x:c r="L16" s="2"/>
      <x:c r="M16" s="33" t="str">
        <x:v>Kaynak · B09 · 14.09.2026</x:v>
      </x:c>
    </x:row>
    <x:row r="17" ht="37" customHeight="1">
      <x:c r="A17" s="22" t="str">
        <x:v>B10</x:v>
      </x:c>
      <x:c r="B17" s="23" t="str">
        <x:v>SMA toz kapağı</x:v>
      </x:c>
      <x:c r="C17" s="10" t="n">
        <x:v>2</x:v>
      </x:c>
      <x:c r="D17" s="28" t="n">
        <x:v>60</x:v>
      </x:c>
      <x:c r="E17" s="8" t="n">
        <x:v>0</x:v>
      </x:c>
      <x:c r="F17" s="30" t="n">
        <x:f>'Ozet'!$E$6</x:f>
        <x:v>0.2</x:v>
      </x:c>
      <x:c r="G17" s="32" t="n">
        <x:f>C17*D17/(1+E17*F17)</x:f>
        <x:v>120</x:v>
      </x:c>
      <x:c r="H17" s="32" t="n">
        <x:f>G17*(1+F17)</x:f>
        <x:v>144</x:v>
      </x:c>
      <x:c r="I17" s="35" t="str">
        <x:v>Ödenek</x:v>
      </x:c>
      <x:c r="J17" s="23" t="str">
        <x:v>Stok teyidi gerekli</x:v>
      </x:c>
      <x:c r="K17" s="23" t="str">
        <x:v>Beti / Direnç</x:v>
      </x:c>
      <x:c r="L17" s="2"/>
      <x:c r="M17" s="33" t="str">
        <x:v>Kaynak · B10 · 14.09.2026</x:v>
      </x:c>
    </x:row>
    <x:row r="18" ht="37" customHeight="1">
      <x:c r="A18" s="2" t="str">
        <x:v>B11</x:v>
      </x:c>
      <x:c r="B18" s="21" t="str">
        <x:v>USB 2.0 A erkek-A dişi, ekranlı 0,3 m</x:v>
      </x:c>
      <x:c r="C18" s="10" t="n">
        <x:v>2</x:v>
      </x:c>
      <x:c r="D18" s="28" t="n">
        <x:v>180</x:v>
      </x:c>
      <x:c r="E18" s="8" t="n">
        <x:v>0</x:v>
      </x:c>
      <x:c r="F18" s="29" t="n">
        <x:f>'Ozet'!$E$6</x:f>
        <x:v>0.2</x:v>
      </x:c>
      <x:c r="G18" s="31" t="n">
        <x:f>C18*D18/(1+E18*F18)</x:f>
        <x:v>360</x:v>
      </x:c>
      <x:c r="H18" s="31" t="n">
        <x:f>G18*(1+F18)</x:f>
        <x:v>432</x:v>
      </x:c>
      <x:c r="I18" s="34" t="str">
        <x:v>Ödenek</x:v>
      </x:c>
      <x:c r="J18" s="21" t="str">
        <x:v>Stok teyidi gerekli</x:v>
      </x:c>
      <x:c r="K18" s="21" t="str">
        <x:v>Direnç / yerel kablo tedariki</x:v>
      </x:c>
      <x:c r="L18" s="2"/>
      <x:c r="M18" s="33" t="str">
        <x:v>Kaynak · B11 · 14.09.2026</x:v>
      </x:c>
    </x:row>
    <x:row r="19" ht="37" customHeight="1">
      <x:c r="A19" s="22" t="str">
        <x:v>B12</x:v>
      </x:c>
      <x:c r="B19" s="23" t="str">
        <x:v>Neutrik NE8FDX-P6</x:v>
      </x:c>
      <x:c r="C19" s="10" t="n">
        <x:v>1</x:v>
      </x:c>
      <x:c r="D19" s="28" t="n">
        <x:v>1400</x:v>
      </x:c>
      <x:c r="E19" s="8" t="n">
        <x:v>0</x:v>
      </x:c>
      <x:c r="F19" s="30" t="n">
        <x:f>'Ozet'!$E$6</x:f>
        <x:v>0.2</x:v>
      </x:c>
      <x:c r="G19" s="32" t="n">
        <x:f>C19*D19/(1+E19*F19)</x:f>
        <x:v>1400</x:v>
      </x:c>
      <x:c r="H19" s="32" t="n">
        <x:f>G19*(1+F19)</x:f>
        <x:v>1680</x:v>
      </x:c>
      <x:c r="I19" s="35" t="str">
        <x:v>Ödenek</x:v>
      </x:c>
      <x:c r="J19" s="23" t="str">
        <x:v>Türkiye teslimi teklif gerekli</x:v>
      </x:c>
      <x:c r="K19" s="23" t="str">
        <x:v>Mouser Türkiye / Neutrik bayi</x:v>
      </x:c>
      <x:c r="L19" s="2"/>
      <x:c r="M19" s="33" t="str">
        <x:v>Kaynak · B12 · 14.09.2026</x:v>
      </x:c>
    </x:row>
    <x:row r="20" ht="37" customHeight="1">
      <x:c r="A20" s="2" t="str">
        <x:v>B13</x:v>
      </x:c>
      <x:c r="B20" s="21" t="str">
        <x:v>CAT6 U/FTP patch 0,3 m</x:v>
      </x:c>
      <x:c r="C20" s="10" t="n">
        <x:v>1</x:v>
      </x:c>
      <x:c r="D20" s="28" t="n">
        <x:v>100</x:v>
      </x:c>
      <x:c r="E20" s="8" t="n">
        <x:v>0</x:v>
      </x:c>
      <x:c r="F20" s="29" t="n">
        <x:f>'Ozet'!$E$6</x:f>
        <x:v>0.2</x:v>
      </x:c>
      <x:c r="G20" s="31" t="n">
        <x:f>C20*D20/(1+E20*F20)</x:f>
        <x:v>100</x:v>
      </x:c>
      <x:c r="H20" s="31" t="n">
        <x:f>G20*(1+F20)</x:f>
        <x:v>120</x:v>
      </x:c>
      <x:c r="I20" s="34" t="str">
        <x:v>Ödenek</x:v>
      </x:c>
      <x:c r="J20" s="21" t="str">
        <x:v>Stok teyidi gerekli</x:v>
      </x:c>
      <x:c r="K20" s="21" t="str">
        <x:v>Yerel ağ tedariki</x:v>
      </x:c>
      <x:c r="L20" s="2"/>
      <x:c r="M20" s="33" t="str">
        <x:v>Kaynak · B13 · 14.09.2026</x:v>
      </x:c>
    </x:row>
    <x:row r="21" ht="37" customHeight="1">
      <x:c r="A21" s="22" t="str">
        <x:v>B14</x:v>
      </x:c>
      <x:c r="B21" s="23" t="str">
        <x:v>Neutrik NAUSB-W</x:v>
      </x:c>
      <x:c r="C21" s="10" t="n">
        <x:v>1</x:v>
      </x:c>
      <x:c r="D21" s="28" t="n">
        <x:v>800</x:v>
      </x:c>
      <x:c r="E21" s="8" t="n">
        <x:v>0</x:v>
      </x:c>
      <x:c r="F21" s="30" t="n">
        <x:f>'Ozet'!$E$6</x:f>
        <x:v>0.2</x:v>
      </x:c>
      <x:c r="G21" s="32" t="n">
        <x:f>C21*D21/(1+E21*F21)</x:f>
        <x:v>800</x:v>
      </x:c>
      <x:c r="H21" s="32" t="n">
        <x:f>G21*(1+F21)</x:f>
        <x:v>960</x:v>
      </x:c>
      <x:c r="I21" s="35" t="str">
        <x:v>Ödenek</x:v>
      </x:c>
      <x:c r="J21" s="23" t="str">
        <x:v>Türkiye teslimi teklif gerekli</x:v>
      </x:c>
      <x:c r="K21" s="23" t="str">
        <x:v>Mouser Türkiye / Neutrik bayi</x:v>
      </x:c>
      <x:c r="L21" s="2"/>
      <x:c r="M21" s="33" t="str">
        <x:v>Kaynak · B14 · 14.09.2026</x:v>
      </x:c>
    </x:row>
    <x:row r="22" ht="37" customHeight="1">
      <x:c r="A22" s="2" t="str">
        <x:v>B15</x:v>
      </x:c>
      <x:c r="B22" s="21" t="str">
        <x:v>USB-A erkek / USB-B erkek 0,3 m</x:v>
      </x:c>
      <x:c r="C22" s="10" t="n">
        <x:v>1</x:v>
      </x:c>
      <x:c r="D22" s="28" t="n">
        <x:v>140</x:v>
      </x:c>
      <x:c r="E22" s="8" t="n">
        <x:v>0</x:v>
      </x:c>
      <x:c r="F22" s="29" t="n">
        <x:f>'Ozet'!$E$6</x:f>
        <x:v>0.2</x:v>
      </x:c>
      <x:c r="G22" s="31" t="n">
        <x:f>C22*D22/(1+E22*F22)</x:f>
        <x:v>140</x:v>
      </x:c>
      <x:c r="H22" s="31" t="n">
        <x:f>G22*(1+F22)</x:f>
        <x:v>168</x:v>
      </x:c>
      <x:c r="I22" s="34" t="str">
        <x:v>Ödenek</x:v>
      </x:c>
      <x:c r="J22" s="21" t="str">
        <x:v>Stok teyidi gerekli</x:v>
      </x:c>
      <x:c r="K22" s="21" t="str">
        <x:v>Direnç / yerel kablo tedariki</x:v>
      </x:c>
      <x:c r="L22" s="2"/>
      <x:c r="M22" s="33" t="str">
        <x:v>Kaynak · B15 · 14.09.2026</x:v>
      </x:c>
    </x:row>
    <x:row r="23" ht="37" customHeight="1">
      <x:c r="A23" s="22" t="str">
        <x:v>B16</x:v>
      </x:c>
      <x:c r="B23" s="23" t="str">
        <x:v>Noctua NF-A6x25 5V</x:v>
      </x:c>
      <x:c r="C23" s="10" t="n">
        <x:v>2</x:v>
      </x:c>
      <x:c r="D23" s="28" t="n">
        <x:v>1250</x:v>
      </x:c>
      <x:c r="E23" s="8" t="n">
        <x:v>0</x:v>
      </x:c>
      <x:c r="F23" s="30" t="n">
        <x:f>'Ozet'!$E$6</x:f>
        <x:v>0.2</x:v>
      </x:c>
      <x:c r="G23" s="32" t="n">
        <x:f>C23*D23/(1+E23*F23)</x:f>
        <x:v>2500</x:v>
      </x:c>
      <x:c r="H23" s="32" t="n">
        <x:f>G23*(1+F23)</x:f>
        <x:v>3000</x:v>
      </x:c>
      <x:c r="I23" s="35" t="str">
        <x:v>Ödenek</x:v>
      </x:c>
      <x:c r="J23" s="23" t="str">
        <x:v>Yerel stok doğrulanamadı</x:v>
      </x:c>
      <x:c r="K23" s="23" t="str">
        <x:v>Noctua bayi / ithal tedarik</x:v>
      </x:c>
      <x:c r="L23" s="2"/>
      <x:c r="M23" s="33" t="str">
        <x:v>Kaynak · B16 · 14.09.2026</x:v>
      </x:c>
    </x:row>
    <x:row r="24" ht="37" customHeight="1">
      <x:c r="A24" s="2" t="str">
        <x:v>B17</x:v>
      </x:c>
      <x:c r="B24" s="21" t="str">
        <x:v>60 mm tel ızgara + titreşim elemanı</x:v>
      </x:c>
      <x:c r="C24" s="10" t="n">
        <x:v>2</x:v>
      </x:c>
      <x:c r="D24" s="28" t="n">
        <x:v>125</x:v>
      </x:c>
      <x:c r="E24" s="8" t="n">
        <x:v>0</x:v>
      </x:c>
      <x:c r="F24" s="29" t="n">
        <x:f>'Ozet'!$E$6</x:f>
        <x:v>0.2</x:v>
      </x:c>
      <x:c r="G24" s="31" t="n">
        <x:f>C24*D24/(1+E24*F24)</x:f>
        <x:v>250</x:v>
      </x:c>
      <x:c r="H24" s="31" t="n">
        <x:f>G24*(1+F24)</x:f>
        <x:v>300</x:v>
      </x:c>
      <x:c r="I24" s="34" t="str">
        <x:v>Ödenek</x:v>
      </x:c>
      <x:c r="J24" s="21" t="str">
        <x:v>Stok teyidi gerekli</x:v>
      </x:c>
      <x:c r="K24" s="21" t="str">
        <x:v>Direnç / fan tedarikçisi</x:v>
      </x:c>
      <x:c r="L24" s="2"/>
      <x:c r="M24" s="33" t="str">
        <x:v>Kaynak · B17 · 14.09.2026</x:v>
      </x:c>
    </x:row>
    <x:row r="25" ht="37" customHeight="1">
      <x:c r="A25" s="22" t="str">
        <x:v>B18</x:v>
      </x:c>
      <x:c r="B25" s="23" t="str">
        <x:v>USB 5 V - 3 pin fan güç, 0,3 m</x:v>
      </x:c>
      <x:c r="C25" s="10" t="n">
        <x:v>2</x:v>
      </x:c>
      <x:c r="D25" s="28" t="n">
        <x:v>150</x:v>
      </x:c>
      <x:c r="E25" s="8" t="n">
        <x:v>0</x:v>
      </x:c>
      <x:c r="F25" s="30" t="n">
        <x:f>'Ozet'!$E$6</x:f>
        <x:v>0.2</x:v>
      </x:c>
      <x:c r="G25" s="32" t="n">
        <x:f>C25*D25/(1+E25*F25)</x:f>
        <x:v>300</x:v>
      </x:c>
      <x:c r="H25" s="32" t="n">
        <x:f>G25*(1+F25)</x:f>
        <x:v>360</x:v>
      </x:c>
      <x:c r="I25" s="35" t="str">
        <x:v>Ödenek</x:v>
      </x:c>
      <x:c r="J25" s="23" t="str">
        <x:v>Numune ve teklif gerekli</x:v>
      </x:c>
      <x:c r="K25" s="23" t="str">
        <x:v>Kablo imalatçısı / fan tedarikçisi</x:v>
      </x:c>
      <x:c r="L25" s="2"/>
      <x:c r="M25" s="33" t="str">
        <x:v>Kaynak · B18 · 14.09.2026</x:v>
      </x:c>
    </x:row>
    <x:row r="26" ht="37" customHeight="1">
      <x:c r="A26" s="2" t="str">
        <x:v>B19</x:v>
      </x:c>
      <x:c r="B26" s="21" t="str">
        <x:v>RP2040 USB kart / Pico sınıfı</x:v>
      </x:c>
      <x:c r="C26" s="10" t="n">
        <x:v>1</x:v>
      </x:c>
      <x:c r="D26" s="28" t="n">
        <x:v>400</x:v>
      </x:c>
      <x:c r="E26" s="8" t="n">
        <x:v>0</x:v>
      </x:c>
      <x:c r="F26" s="29" t="n">
        <x:f>'Ozet'!$E$6</x:f>
        <x:v>0.2</x:v>
      </x:c>
      <x:c r="G26" s="31" t="n">
        <x:f>C26*D26/(1+E26*F26)</x:f>
        <x:v>400</x:v>
      </x:c>
      <x:c r="H26" s="31" t="n">
        <x:f>G26*(1+F26)</x:f>
        <x:v>480</x:v>
      </x:c>
      <x:c r="I26" s="34" t="str">
        <x:v>Ödenek</x:v>
      </x:c>
      <x:c r="J26" s="21" t="str">
        <x:v>Pico listesi tükendi; eşdeğer teklif</x:v>
      </x:c>
      <x:c r="K26" s="21" t="str">
        <x:v>Robotistan / RP2040 bayi</x:v>
      </x:c>
      <x:c r="L26" s="2"/>
      <x:c r="M26" s="33" t="str">
        <x:v>Kaynak · B19 · 14.09.2026</x:v>
      </x:c>
    </x:row>
    <x:row r="27" ht="37" customHeight="1">
      <x:c r="A27" s="22" t="str">
        <x:v>B20</x:v>
      </x:c>
      <x:c r="B27" s="23" t="str">
        <x:v>3×LED+bezel, 3×680 ohm, kablo/header</x:v>
      </x:c>
      <x:c r="C27" s="10" t="n">
        <x:v>1</x:v>
      </x:c>
      <x:c r="D27" s="28" t="n">
        <x:v>180</x:v>
      </x:c>
      <x:c r="E27" s="8" t="n">
        <x:v>0</x:v>
      </x:c>
      <x:c r="F27" s="30" t="n">
        <x:f>'Ozet'!$E$6</x:f>
        <x:v>0.2</x:v>
      </x:c>
      <x:c r="G27" s="32" t="n">
        <x:f>C27*D27/(1+E27*F27)</x:f>
        <x:v>180</x:v>
      </x:c>
      <x:c r="H27" s="32" t="n">
        <x:f>G27*(1+F27)</x:f>
        <x:v>216</x:v>
      </x:c>
      <x:c r="I27" s="35" t="str">
        <x:v>Ödenek</x:v>
      </x:c>
      <x:c r="J27" s="23" t="str">
        <x:v>Stok teyidi gerekli</x:v>
      </x:c>
      <x:c r="K27" s="23" t="str">
        <x:v>Direnç / Robotistan</x:v>
      </x:c>
      <x:c r="L27" s="2"/>
      <x:c r="M27" s="33" t="str">
        <x:v>Kaynak · B20 · 14.09.2026</x:v>
      </x:c>
    </x:row>
    <x:row r="28" ht="37" customHeight="1">
      <x:c r="A28" s="2" t="str">
        <x:v>B21</x:v>
      </x:c>
      <x:c r="B28" s="21" t="str">
        <x:v>Kılavuzlu mekanik plunger, yaysız temas</x:v>
      </x:c>
      <x:c r="C28" s="10" t="n">
        <x:v>1</x:v>
      </x:c>
      <x:c r="D28" s="28" t="n">
        <x:v>250</x:v>
      </x:c>
      <x:c r="E28" s="8" t="n">
        <x:v>0</x:v>
      </x:c>
      <x:c r="F28" s="29" t="n">
        <x:f>'Ozet'!$E$6</x:f>
        <x:v>0.2</x:v>
      </x:c>
      <x:c r="G28" s="31" t="n">
        <x:f>C28*D28/(1+E28*F28)</x:f>
        <x:v>250</x:v>
      </x:c>
      <x:c r="H28" s="31" t="n">
        <x:f>G28*(1+F28)</x:f>
        <x:v>300</x:v>
      </x:c>
      <x:c r="I28" s="34" t="str">
        <x:v>Ödenek</x:v>
      </x:c>
      <x:c r="J28" s="21" t="str">
        <x:v>PC numunesinden sonra</x:v>
      </x:c>
      <x:c r="K28" s="21" t="str">
        <x:v>Yerel 3D baskı / mekanik atölye</x:v>
      </x:c>
      <x:c r="L28" s="2"/>
      <x:c r="M28" s="33" t="str">
        <x:v>Kaynak · B21 · 14.09.2026</x:v>
      </x:c>
    </x:row>
    <x:row r="29" ht="37" customHeight="1">
      <x:c r="A29" s="22" t="str">
        <x:v>B22</x:v>
      </x:c>
      <x:c r="B29" s="23" t="str">
        <x:v>Bölünebilir kablo geçişi + iç kelepçe</x:v>
      </x:c>
      <x:c r="C29" s="10" t="n">
        <x:v>1</x:v>
      </x:c>
      <x:c r="D29" s="28" t="n">
        <x:v>120</x:v>
      </x:c>
      <x:c r="E29" s="8" t="n">
        <x:v>0</x:v>
      </x:c>
      <x:c r="F29" s="30" t="n">
        <x:f>'Ozet'!$E$6</x:f>
        <x:v>0.2</x:v>
      </x:c>
      <x:c r="G29" s="32" t="n">
        <x:f>C29*D29/(1+E29*F29)</x:f>
        <x:v>120</x:v>
      </x:c>
      <x:c r="H29" s="32" t="n">
        <x:f>G29*(1+F29)</x:f>
        <x:v>144</x:v>
      </x:c>
      <x:c r="I29" s="35" t="str">
        <x:v>Ödenek</x:v>
      </x:c>
      <x:c r="J29" s="23" t="str">
        <x:v>Kablo çapı teyidi</x:v>
      </x:c>
      <x:c r="K29" s="23" t="str">
        <x:v>Direnç / kablo aksesuarı</x:v>
      </x:c>
      <x:c r="L29" s="2"/>
      <x:c r="M29" s="33" t="str">
        <x:v>Kaynak · B22 · 14.09.2026</x:v>
      </x:c>
    </x:row>
    <x:row r="30" ht="37" customHeight="1">
      <x:c r="A30" s="2" t="str">
        <x:v>B23</x:v>
      </x:c>
      <x:c r="B30" s="21" t="str">
        <x:v>Sökülebilir kauçuk ayak M3</x:v>
      </x:c>
      <x:c r="C30" s="10" t="n">
        <x:v>4</x:v>
      </x:c>
      <x:c r="D30" s="28" t="n">
        <x:v>30</x:v>
      </x:c>
      <x:c r="E30" s="8" t="n">
        <x:v>0</x:v>
      </x:c>
      <x:c r="F30" s="29" t="n">
        <x:f>'Ozet'!$E$6</x:f>
        <x:v>0.2</x:v>
      </x:c>
      <x:c r="G30" s="31" t="n">
        <x:f>C30*D30/(1+E30*F30)</x:f>
        <x:v>120</x:v>
      </x:c>
      <x:c r="H30" s="31" t="n">
        <x:f>G30*(1+F30)</x:f>
        <x:v>144</x:v>
      </x:c>
      <x:c r="I30" s="34" t="str">
        <x:v>Ödenek</x:v>
      </x:c>
      <x:c r="J30" s="21" t="str">
        <x:v>Stok teyidi gerekli</x:v>
      </x:c>
      <x:c r="K30" s="21" t="str">
        <x:v>Altınkaya / Direnç</x:v>
      </x:c>
      <x:c r="L30" s="2"/>
      <x:c r="M30" s="33" t="str">
        <x:v>Kaynak · B23 · 14.09.2026</x:v>
      </x:c>
    </x:row>
    <x:row r="31" ht="37" customHeight="1">
      <x:c r="A31" s="22" t="str">
        <x:v>B24</x:v>
      </x:c>
      <x:c r="B31" s="23" t="str">
        <x:v>M3/M4 vida, somun plaka, standoff</x:v>
      </x:c>
      <x:c r="C31" s="10" t="n">
        <x:v>1</x:v>
      </x:c>
      <x:c r="D31" s="28" t="n">
        <x:v>400</x:v>
      </x:c>
      <x:c r="E31" s="8" t="n">
        <x:v>0</x:v>
      </x:c>
      <x:c r="F31" s="30" t="n">
        <x:f>'Ozet'!$E$6</x:f>
        <x:v>0.2</x:v>
      </x:c>
      <x:c r="G31" s="32" t="n">
        <x:f>C31*D31/(1+E31*F31)</x:f>
        <x:v>400</x:v>
      </x:c>
      <x:c r="H31" s="32" t="n">
        <x:f>G31*(1+F31)</x:f>
        <x:v>480</x:v>
      </x:c>
      <x:c r="I31" s="35" t="str">
        <x:v>Ödenek</x:v>
      </x:c>
      <x:c r="J31" s="23" t="str">
        <x:v>Teklif bekliyor</x:v>
      </x:c>
      <x:c r="K31" s="23" t="str">
        <x:v>Yerel bağlantı elemanı tedariki</x:v>
      </x:c>
      <x:c r="L31" s="2"/>
      <x:c r="M31" s="33" t="str">
        <x:v>Kaynak · B24 · 14.09.2026</x:v>
      </x:c>
    </x:row>
    <x:row r="32" ht="37" customHeight="1">
      <x:c r="A32" s="2" t="str">
        <x:v>B25</x:v>
      </x:c>
      <x:c r="B32" s="21" t="str">
        <x:v>Örgü bağ, yıldız pul, ferrit, kablo bağı</x:v>
      </x:c>
      <x:c r="C32" s="10" t="n">
        <x:v>1</x:v>
      </x:c>
      <x:c r="D32" s="28" t="n">
        <x:v>450</x:v>
      </x:c>
      <x:c r="E32" s="8" t="n">
        <x:v>0</x:v>
      </x:c>
      <x:c r="F32" s="29" t="n">
        <x:f>'Ozet'!$E$6</x:f>
        <x:v>0.2</x:v>
      </x:c>
      <x:c r="G32" s="31" t="n">
        <x:f>C32*D32/(1+E32*F32)</x:f>
        <x:v>450</x:v>
      </x:c>
      <x:c r="H32" s="31" t="n">
        <x:f>G32*(1+F32)</x:f>
        <x:v>540</x:v>
      </x:c>
      <x:c r="I32" s="34" t="str">
        <x:v>Ödenek</x:v>
      </x:c>
      <x:c r="J32" s="21" t="str">
        <x:v>Teklif bekliyor</x:v>
      </x:c>
      <x:c r="K32" s="21" t="str">
        <x:v>Direnç / EMC malzeme tedariki</x:v>
      </x:c>
      <x:c r="L32" s="2"/>
      <x:c r="M32" s="33" t="str">
        <x:v>Kaynak · B25 · 14.09.2026</x:v>
      </x:c>
    </x:row>
    <x:row r="33" ht="37" customHeight="1">
      <x:c r="A33" s="22" t="str">
        <x:v>B26</x:v>
      </x:c>
      <x:c r="B33" s="23" t="str">
        <x:v>Kutu + EPE köpük + ESD torba + etiket</x:v>
      </x:c>
      <x:c r="C33" s="10" t="n">
        <x:v>1</x:v>
      </x:c>
      <x:c r="D33" s="28" t="n">
        <x:v>450</x:v>
      </x:c>
      <x:c r="E33" s="8" t="n">
        <x:v>0</x:v>
      </x:c>
      <x:c r="F33" s="30" t="n">
        <x:f>'Ozet'!$E$6</x:f>
        <x:v>0.2</x:v>
      </x:c>
      <x:c r="G33" s="32" t="n">
        <x:f>C33*D33/(1+E33*F33)</x:f>
        <x:v>450</x:v>
      </x:c>
      <x:c r="H33" s="32" t="n">
        <x:f>G33*(1+F33)</x:f>
        <x:v>540</x:v>
      </x:c>
      <x:c r="I33" s="35" t="str">
        <x:v>Ödenek</x:v>
      </x:c>
      <x:c r="J33" s="23" t="str">
        <x:v>Teklif bekliyor</x:v>
      </x:c>
      <x:c r="K33" s="23" t="str">
        <x:v>Yerel ambalaj imalatçısı</x:v>
      </x:c>
      <x:c r="L33" s="2"/>
      <x:c r="M33" s="33" t="str">
        <x:v>Kaynak · B26 · 14.09.2026</x:v>
      </x:c>
    </x:row>
    <x:row r="34" ht="37" customHeight="1">
      <x:c r="A34" s="2" t="str">
        <x:v>B27</x:v>
      </x:c>
      <x:c r="B34" s="21" t="str">
        <x:v>Bir cihaz montaj, kablolama ve giriş kontrol</x:v>
      </x:c>
      <x:c r="C34" s="10" t="n">
        <x:v>1</x:v>
      </x:c>
      <x:c r="D34" s="28" t="n">
        <x:v>3000</x:v>
      </x:c>
      <x:c r="E34" s="8" t="n">
        <x:v>0</x:v>
      </x:c>
      <x:c r="F34" s="29" t="n">
        <x:f>'Ozet'!$E$6</x:f>
        <x:v>0.2</x:v>
      </x:c>
      <x:c r="G34" s="31" t="n">
        <x:f>C34*D34/(1+E34*F34)</x:f>
        <x:v>3000</x:v>
      </x:c>
      <x:c r="H34" s="31" t="n">
        <x:f>G34*(1+F34)</x:f>
        <x:v>3600</x:v>
      </x:c>
      <x:c r="I34" s="34" t="str">
        <x:v>Ödenek</x:v>
      </x:c>
      <x:c r="J34" s="21" t="str">
        <x:v>İşçilik plan ödeneği</x:v>
      </x:c>
      <x:c r="K34" s="21" t="str">
        <x:v>BİEM / sözleşmeli montaj</x:v>
      </x:c>
      <x:c r="L34" s="2"/>
      <x:c r="M34" s="33" t="str">
        <x:v>Kaynak · B27 · 14.09.2026</x:v>
      </x:c>
    </x:row>
    <x:row r="35" ht="37" customHeight="1">
      <x:c r="A35" s="22" t="str">
        <x:v>B28</x:v>
      </x:c>
      <x:c r="B35" s="23" t="str">
        <x:v>Yurtiçi konsolide kargo ödeneği</x:v>
      </x:c>
      <x:c r="C35" s="10" t="n">
        <x:v>1</x:v>
      </x:c>
      <x:c r="D35" s="28" t="n">
        <x:v>900</x:v>
      </x:c>
      <x:c r="E35" s="8" t="n">
        <x:v>0</x:v>
      </x:c>
      <x:c r="F35" s="30" t="n">
        <x:f>'Ozet'!$E$6</x:f>
        <x:v>0.2</x:v>
      </x:c>
      <x:c r="G35" s="32" t="n">
        <x:f>C35*D35/(1+E35*F35)</x:f>
        <x:v>900</x:v>
      </x:c>
      <x:c r="H35" s="32" t="n">
        <x:f>G35*(1+F35)</x:f>
        <x:v>1080</x:v>
      </x:c>
      <x:c r="I35" s="35" t="str">
        <x:v>Ödenek</x:v>
      </x:c>
      <x:c r="J35" s="23" t="str">
        <x:v>Teklif bekliyor</x:v>
      </x:c>
      <x:c r="K35" s="23" t="str">
        <x:v>Tedarikçiler</x:v>
      </x:c>
      <x:c r="L35" s="2"/>
      <x:c r="M35" s="33" t="str">
        <x:v>Kaynak · B28 · 14.09.2026</x:v>
      </x:c>
    </x:row>
    <x:row r="36" ht="37" customHeight="1">
      <x:c r="A36" s="2" t="str">
        <x:v>B29</x:v>
      </x:c>
      <x:c r="B36" s="21" t="str">
        <x:v>19 inç raf / en az 300 mm derinlik</x:v>
      </x:c>
      <x:c r="C36" s="10" t="n">
        <x:v>1</x:v>
      </x:c>
      <x:c r="D36" s="28" t="n">
        <x:v>900</x:v>
      </x:c>
      <x:c r="E36" s="8" t="n">
        <x:v>0</x:v>
      </x:c>
      <x:c r="F36" s="29" t="n">
        <x:f>'Ozet'!$E$6</x:f>
        <x:v>0.2</x:v>
      </x:c>
      <x:c r="G36" s="31" t="n">
        <x:f>C36*D36/(1+E36*F36)</x:f>
        <x:v>900</x:v>
      </x:c>
      <x:c r="H36" s="31" t="n">
        <x:f>G36*(1+F36)</x:f>
        <x:v>1080</x:v>
      </x:c>
      <x:c r="I36" s="34" t="str">
        <x:v>Ödenek</x:v>
      </x:c>
      <x:c r="J36" s="21" t="str">
        <x:v>Teklif bekliyor</x:v>
      </x:c>
      <x:c r="K36" s="21" t="str">
        <x:v>Yerel rack kabin tedarikçisi</x:v>
      </x:c>
      <x:c r="L36" s="2"/>
      <x:c r="M36" s="33" t="str">
        <x:v>Kaynak · B29 · 14.09.2026</x:v>
      </x:c>
    </x:row>
    <x:row r="37" ht="37" customHeight="1">
      <x:c r="A37" s="22" t="str">
        <x:v>B30</x:v>
      </x:c>
      <x:c r="B37" s="23" t="str">
        <x:v>HDMI panel uzatma 0,3 m + küçük plaka</x:v>
      </x:c>
      <x:c r="C37" s="10" t="n">
        <x:v>1</x:v>
      </x:c>
      <x:c r="D37" s="28" t="n">
        <x:v>250</x:v>
      </x:c>
      <x:c r="E37" s="8" t="n">
        <x:v>0</x:v>
      </x:c>
      <x:c r="F37" s="30" t="n">
        <x:f>'Ozet'!$E$6</x:f>
        <x:v>0.2</x:v>
      </x:c>
      <x:c r="G37" s="32" t="n">
        <x:f>C37*D37/(1+E37*F37)</x:f>
        <x:v>250</x:v>
      </x:c>
      <x:c r="H37" s="32" t="n">
        <x:f>G37*(1+F37)</x:f>
        <x:v>300</x:v>
      </x:c>
      <x:c r="I37" s="35" t="str">
        <x:v>Ödenek</x:v>
      </x:c>
      <x:c r="J37" s="23" t="str">
        <x:v>Numune/konnektör kesiti gerekli</x:v>
      </x:c>
      <x:c r="K37" s="23" t="str">
        <x:v>Yerel kablo tedariki</x:v>
      </x:c>
      <x:c r="L37" s="2"/>
      <x:c r="M37" s="33" t="str">
        <x:v>Kaynak · B30 · 14.09.2026</x:v>
      </x:c>
    </x:row>
    <x:row r="38" ht="25" customHeight="1">
      <x:c r="A38" s="2"/>
      <x:c r="B38" s="2"/>
      <x:c r="C38" s="2"/>
      <x:c r="D38" s="2"/>
      <x:c r="E38" s="2"/>
      <x:c r="F38" s="2"/>
      <x:c r="G38" s="14"/>
      <x:c r="H38" s="14"/>
      <x:c r="I38" s="2"/>
      <x:c r="J38" s="2"/>
      <x:c r="K38" s="2"/>
      <x:c r="L38" s="2"/>
      <x:c r="M38" s="2"/>
    </x:row>
    <x:row r="39" ht="25" customHeight="1">
      <x:c r="A39" s="2"/>
      <x:c r="B39" s="2"/>
      <x:c r="C39" s="2"/>
      <x:c r="D39" s="2"/>
      <x:c r="E39" s="2"/>
      <x:c r="F39" s="2"/>
      <x:c r="G39" s="14"/>
      <x:c r="H39" s="14"/>
      <x:c r="I39" s="2"/>
      <x:c r="J39" s="2"/>
      <x:c r="K39" s="2"/>
      <x:c r="L39" s="2"/>
      <x:c r="M39" s="2"/>
    </x:row>
    <x:row r="40" ht="25" customHeight="1">
      <x:c r="A40" s="2"/>
      <x:c r="B40" s="2" t="str">
        <x:v>Fiyatlandırılmış net</x:v>
      </x:c>
      <x:c r="C40" s="2"/>
      <x:c r="D40" s="2"/>
      <x:c r="E40" s="2"/>
      <x:c r="F40" s="2"/>
      <x:c r="G40" s="14" t="n">
        <x:f>SUM(G8:G37)</x:f>
        <x:v>79356.19166666667</x:v>
      </x:c>
      <x:c r="H40" s="14"/>
      <x:c r="I40" s="2"/>
      <x:c r="J40" s="2"/>
      <x:c r="K40" s="2"/>
      <x:c r="L40" s="2"/>
      <x:c r="M40" s="2"/>
    </x:row>
    <x:row r="41" ht="25" customHeight="1">
      <x:c r="A41" s="2"/>
      <x:c r="B41" s="2" t="str">
        <x:v>KDV</x:v>
      </x:c>
      <x:c r="C41" s="2"/>
      <x:c r="D41" s="2"/>
      <x:c r="E41" s="2"/>
      <x:c r="F41" s="2"/>
      <x:c r="G41" s="14" t="n">
        <x:f>SUM(H8:H37)-G40</x:f>
        <x:v>15871.238333333327</x:v>
      </x:c>
      <x:c r="H41" s="14"/>
      <x:c r="I41" s="2"/>
      <x:c r="J41" s="2"/>
      <x:c r="K41" s="2"/>
      <x:c r="L41" s="2"/>
      <x:c r="M41" s="2"/>
    </x:row>
    <x:row r="42" ht="25" customHeight="1">
      <x:c r="A42" s="2"/>
      <x:c r="B42" s="2" t="str">
        <x:v>Bir prototip / KDV dahil</x:v>
      </x:c>
      <x:c r="C42" s="2"/>
      <x:c r="D42" s="2"/>
      <x:c r="E42" s="2"/>
      <x:c r="F42" s="2"/>
      <x:c r="G42" s="14" t="n">
        <x:f>SUM(H8:H37)</x:f>
        <x:v>95227.43</x:v>
      </x:c>
      <x:c r="H42" s="14"/>
      <x:c r="I42" s="2"/>
      <x:c r="J42" s="2"/>
      <x:c r="K42" s="2"/>
      <x:c r="L42" s="2"/>
      <x:c r="M42" s="2"/>
    </x:row>
    <x:row r="43" ht="25" customHeight="1">
      <x:c r="A43" s="2"/>
      <x:c r="B43" s="2" t="str">
        <x:v>Risk payı</x:v>
      </x:c>
      <x:c r="C43" s="2"/>
      <x:c r="D43" s="2"/>
      <x:c r="E43" s="2"/>
      <x:c r="F43" s="2"/>
      <x:c r="G43" s="14" t="n">
        <x:f>G42*'Ozet'!$E$7</x:f>
        <x:v>19045.486</x:v>
      </x:c>
      <x:c r="H43" s="14"/>
      <x:c r="I43" s="2"/>
      <x:c r="J43" s="2"/>
      <x:c r="K43" s="2"/>
      <x:c r="L43" s="2"/>
      <x:c r="M43" s="2"/>
    </x:row>
    <x:row r="44" ht="25" customHeight="1">
      <x:c r="A44" s="2"/>
      <x:c r="B44" s="12" t="str">
        <x:v>Prototip ödeneği</x:v>
      </x:c>
      <x:c r="C44" s="12"/>
      <x:c r="D44" s="12"/>
      <x:c r="E44" s="12"/>
      <x:c r="F44" s="12"/>
      <x:c r="G44" s="15" t="n">
        <x:f>G42+G43</x:f>
        <x:v>114272.916</x:v>
      </x:c>
      <x:c r="H44" s="15"/>
      <x:c r="I44" s="2"/>
      <x:c r="J44" s="2"/>
      <x:c r="K44" s="2"/>
      <x:c r="L44" s="2"/>
      <x:c r="M44" s="2"/>
    </x:row>
    <x:row r="45" ht="25" customHeight="1">
      <x:c r="A45" s="2"/>
      <x:c r="B45" s="2"/>
      <x:c r="C45" s="2"/>
      <x:c r="D45" s="2"/>
      <x:c r="E45" s="2"/>
      <x:c r="F45" s="2"/>
      <x:c r="G45" s="14"/>
      <x:c r="H45" s="14"/>
      <x:c r="I45" s="2"/>
      <x:c r="J45" s="2"/>
      <x:c r="K45" s="2"/>
      <x:c r="L45" s="2"/>
      <x:c r="M45" s="2"/>
    </x:row>
    <x:row r="46" ht="25" customHeight="1">
      <x:c r="A46" s="2"/>
      <x:c r="B46" s="2" t="str">
        <x:v>Web fiyatlarına dayalı net</x:v>
      </x:c>
      <x:c r="C46" s="2"/>
      <x:c r="D46" s="2"/>
      <x:c r="E46" s="2"/>
      <x:c r="F46" s="2"/>
      <x:c r="G46" s="14" t="n">
        <x:f>SUMIF(I8:I37,"Web gözlemi",G8:G37)</x:f>
        <x:v>55716.191666666666</x:v>
      </x:c>
      <x:c r="H46" s="14"/>
      <x:c r="I46" s="2"/>
      <x:c r="J46" s="2"/>
      <x:c r="K46" s="2"/>
      <x:c r="L46" s="2"/>
      <x:c r="M46" s="2"/>
    </x:row>
    <x:row r="47" ht="25" customHeight="1">
      <x:c r="A47" s="2"/>
      <x:c r="B47" s="2" t="str">
        <x:v>Ödeneklere dayalı net</x:v>
      </x:c>
      <x:c r="C47" s="2"/>
      <x:c r="D47" s="2"/>
      <x:c r="E47" s="2"/>
      <x:c r="F47" s="2"/>
      <x:c r="G47" s="14" t="n">
        <x:f>SUMIF(I8:I37,"Ödenek",G8:G37)</x:f>
        <x:v>23640</x:v>
      </x:c>
      <x:c r="H47" s="14"/>
      <x:c r="I47" s="2"/>
      <x:c r="J47" s="2"/>
      <x:c r="K47" s="2"/>
      <x:c r="L47" s="2"/>
      <x:c r="M47" s="2"/>
    </x:row>
    <x:row r="48" ht="25" customHeight="1">
      <x:c r="A48" s="2"/>
      <x:c r="B48" s="2"/>
      <x:c r="C48" s="2"/>
      <x:c r="D48" s="2"/>
      <x:c r="E48" s="2"/>
      <x:c r="F48" s="2"/>
      <x:c r="G48" s="14"/>
      <x:c r="H48" s="14"/>
      <x:c r="I48" s="2"/>
      <x:c r="J48" s="2"/>
      <x:c r="K48" s="2"/>
      <x:c r="L48" s="2"/>
      <x:c r="M48" s="2"/>
    </x:row>
    <x:row r="49" ht="25" customHeight="1">
      <x:c r="A49" s="2"/>
      <x:c r="B49" s="38" t="str">
        <x:v>Ticari sürüm: henüz fiyatı alınmamış ilaveler</x:v>
      </x:c>
      <x:c r="C49" s="2"/>
      <x:c r="D49" s="2"/>
      <x:c r="E49" s="2"/>
      <x:c r="F49" s="2"/>
      <x:c r="G49" s="14"/>
      <x:c r="H49" s="14"/>
      <x:c r="I49" s="2"/>
      <x:c r="J49" s="2"/>
      <x:c r="K49" s="2"/>
      <x:c r="L49" s="2"/>
      <x:c r="M49" s="2"/>
    </x:row>
    <x:row r="50" ht="25" customHeight="1">
      <x:c r="A50" s="2"/>
      <x:c r="B50" s="2"/>
      <x:c r="C50" s="2"/>
      <x:c r="D50" s="2"/>
      <x:c r="E50" s="2"/>
      <x:c r="F50" s="2"/>
      <x:c r="G50" s="14"/>
      <x:c r="H50" s="14"/>
      <x:c r="I50" s="2"/>
      <x:c r="J50" s="2"/>
      <x:c r="K50" s="2"/>
      <x:c r="L50" s="2"/>
      <x:c r="M50" s="2"/>
    </x:row>
    <x:row r="51" ht="37" customHeight="1">
      <x:c r="A51" s="2" t="str">
        <x:v>L01</x:v>
      </x:c>
      <x:c r="B51" s="2" t="str">
        <x:v>AMBE/DVSI ticari çözüm</x:v>
      </x:c>
      <x:c r="C51" s="2" t="n">
        <x:v>1</x:v>
      </x:c>
      <x:c r="D51" s="8"/>
      <x:c r="E51" s="2"/>
      <x:c r="F51" s="2"/>
      <x:c r="G51" s="14" t="str">
        <x:f>IF(ISNUMBER(D51),C51*D51,"Teklif bekliyor")</x:f>
        <x:v>Teklif bekliyor</x:v>
      </x:c>
      <x:c r="H51" s="14"/>
      <x:c r="I51" s="2"/>
      <x:c r="J51" s="21" t="str">
        <x:v>8/16 eşzamanlı decode; NRE + cihaz bedeli</x:v>
      </x:c>
      <x:c r="K51" s="21"/>
      <x:c r="L51" s="2"/>
      <x:c r="M51" s="2" t="str">
        <x:v>Kaynak · L01 · teklif</x:v>
      </x:c>
    </x:row>
    <x:row r="52" ht="37" customHeight="1">
      <x:c r="A52" s="2" t="str">
        <x:v>L02</x:v>
      </x:c>
      <x:c r="B52" s="2" t="str">
        <x:v>TETRA DLL/vokoder ticari dağıtımı</x:v>
      </x:c>
      <x:c r="C52" s="2" t="n">
        <x:v>1</x:v>
      </x:c>
      <x:c r="D52" s="8"/>
      <x:c r="E52" s="2"/>
      <x:c r="F52" s="2"/>
      <x:c r="G52" s="14" t="str">
        <x:f>IF(ISNUMBER(D52),C52*D52,"Teklif bekliyor")</x:f>
        <x:v>Teklif bekliyor</x:v>
      </x:c>
      <x:c r="H52" s="14"/>
      <x:c r="I52" s="2"/>
      <x:c r="J52" s="21" t="str">
        <x:v>Kaynak, hak sahibi ve izin yazısı gerekli</x:v>
      </x:c>
      <x:c r="K52" s="21"/>
      <x:c r="L52" s="2"/>
      <x:c r="M52" s="2"/>
    </x:row>
    <x:row r="53" ht="37" customHeight="1">
      <x:c r="A53" s="2" t="str">
        <x:v>L03</x:v>
      </x:c>
      <x:c r="B53" s="2" t="str">
        <x:v>Windows IoT OEM seri üretim</x:v>
      </x:c>
      <x:c r="C53" s="2" t="n">
        <x:v>1</x:v>
      </x:c>
      <x:c r="D53" s="8"/>
      <x:c r="E53" s="2"/>
      <x:c r="F53" s="2"/>
      <x:c r="G53" s="14" t="str">
        <x:f>IF(ISNUMBER(D53),C53*D53,"Teklif bekliyor")</x:f>
        <x:v>Teklif bekliyor</x:v>
      </x:c>
      <x:c r="H53" s="14"/>
      <x:c r="I53" s="2"/>
      <x:c r="J53" s="21" t="str">
        <x:v>Prototip Win11 Pro paketine dahil; IoT ilave lisansı dahil değil</x:v>
      </x:c>
      <x:c r="K53" s="21"/>
      <x:c r="L53" s="2"/>
      <x:c r="M53" s="2" t="str">
        <x:v>Kaynak · L03 · teklif</x:v>
      </x:c>
    </x:row>
    <x:row r="54" ht="25" customHeight="1">
      <x:c r="A54" s="2"/>
      <x:c r="B54" s="2"/>
      <x:c r="C54" s="2"/>
      <x:c r="D54" s="2"/>
      <x:c r="E54" s="2"/>
      <x:c r="F54" s="2"/>
      <x:c r="G54" s="14"/>
      <x:c r="H54" s="14"/>
      <x:c r="I54" s="2"/>
      <x:c r="J54" s="2"/>
      <x:c r="K54" s="2"/>
      <x:c r="L54" s="2"/>
      <x:c r="M54" s="2"/>
    </x:row>
    <x:row r="55" ht="25" customHeight="1">
      <x:c r="A55" s="2"/>
      <x:c r="B55" s="2" t="str">
        <x:v>Ticari lisanslar, net</x:v>
      </x:c>
      <x:c r="C55" s="2"/>
      <x:c r="D55" s="2"/>
      <x:c r="E55" s="2"/>
      <x:c r="F55" s="2"/>
      <x:c r="G55" s="14" t="str">
        <x:f>IF(COUNTBLANK(D51:D53)&gt;0,"TEKLİF BEKLİYOR",SUM(G51:G53))</x:f>
        <x:v>TEKLİF BEKLİYOR</x:v>
      </x:c>
      <x:c r="H55" s="14"/>
      <x:c r="I55" s="2"/>
      <x:c r="J55" s="2"/>
      <x:c r="K55" s="2"/>
      <x:c r="L55" s="2"/>
      <x:c r="M55" s="2"/>
    </x:row>
    <x:row r="56" ht="25" customHeight="1">
      <x:c r="A56" s="2"/>
      <x:c r="B56" s="2"/>
      <x:c r="C56" s="2"/>
      <x:c r="D56" s="2"/>
      <x:c r="E56" s="2"/>
      <x:c r="F56" s="2"/>
      <x:c r="G56" s="14"/>
      <x:c r="H56" s="14"/>
      <x:c r="I56" s="2"/>
      <x:c r="J56" s="2"/>
      <x:c r="K56" s="2"/>
      <x:c r="L56" s="2"/>
      <x:c r="M56" s="2"/>
    </x:row>
    <x:row r="57" ht="25" customHeight="1">
      <x:c r="A57" s="2"/>
      <x:c r="B57" s="2" t="str">
        <x:v>Plan adedi için brüt donanım</x:v>
      </x:c>
      <x:c r="C57" s="2"/>
      <x:c r="D57" s="2"/>
      <x:c r="E57" s="2"/>
      <x:c r="F57" s="2"/>
      <x:c r="G57" s="14" t="n">
        <x:f>G42*'Ozet'!E8</x:f>
        <x:v>952274.2999999999</x:v>
      </x:c>
      <x:c r="H57" s="14"/>
      <x:c r="I57" s="2"/>
      <x:c r="J57" s="2"/>
      <x:c r="K57" s="2"/>
      <x:c r="L57" s="2"/>
      <x:c r="M57" s="2"/>
    </x:row>
    <x:row r="58" ht="25" customHeight="1">
      <x:c r="A58" s="2"/>
      <x:c r="B58" s="2" t="str">
        <x:v>Plan adedi için risk payı</x:v>
      </x:c>
      <x:c r="C58" s="2"/>
      <x:c r="D58" s="2"/>
      <x:c r="E58" s="2"/>
      <x:c r="F58" s="2"/>
      <x:c r="G58" s="14" t="n">
        <x:f>G57*'Ozet'!E7</x:f>
        <x:v>190454.86</x:v>
      </x:c>
      <x:c r="H58" s="14"/>
      <x:c r="I58" s="2"/>
      <x:c r="J58" s="2"/>
      <x:c r="K58" s="2"/>
      <x:c r="L58" s="2"/>
      <x:c r="M58" s="2"/>
    </x:row>
    <x:row r="59" ht="25" customHeight="1">
      <x:c r="A59" s="2"/>
      <x:c r="B59" s="12" t="str">
        <x:v>Plan adedi cihaz ödeneği</x:v>
      </x:c>
      <x:c r="C59" s="12"/>
      <x:c r="D59" s="12"/>
      <x:c r="E59" s="12"/>
      <x:c r="F59" s="12"/>
      <x:c r="G59" s="15" t="n">
        <x:f>G57+G58</x:f>
        <x:v>1142729.16</x:v>
      </x:c>
      <x:c r="H59" s="15"/>
      <x:c r="I59" s="2"/>
      <x:c r="J59" s="2"/>
      <x:c r="K59" s="2"/>
      <x:c r="L59" s="2"/>
      <x:c r="M59" s="2"/>
    </x:row>
    <x:row r="60" ht="2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</x:sheetData>
  <x:pageMargins left="0.7" right="0.7" top="0.75" bottom="0.75" header="0.3" footer="0.3"/>
  <x:legacyDrawing xmlns:r="http://schemas.openxmlformats.org/officeDocument/2006/relationships" r:id="R4a79dcded2c848d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5" hidden="0" customWidth="1"/>
    <x:col min="2" max="2" width="9" hidden="0" customWidth="1"/>
    <x:col min="3" max="3" width="14" hidden="0" customWidth="1"/>
    <x:col min="4" max="4" width="17" hidden="0" customWidth="1"/>
    <x:col min="5" max="5" width="18" hidden="0" customWidth="1"/>
    <x:col min="6" max="6" width="10" hidden="0" customWidth="1"/>
    <x:col min="7" max="7" width="18" hidden="0" customWidth="1"/>
    <x:col min="8" max="8" width="4" hidden="0" customWidth="1"/>
    <x:col min="9" max="9" width="6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5" customHeight="1">
      <x:c r="A2" s="3" t="str">
        <x:v>BM-ICC-08 / Ürünleştirme ödeneği</x:v>
      </x:c>
      <x:c r="B2" s="2"/>
      <x:c r="C2" s="2"/>
      <x:c r="D2" s="2"/>
      <x:c r="E2" s="2"/>
      <x:c r="F2" s="2"/>
      <x:c r="G2" s="2"/>
      <x:c r="H2" s="2"/>
      <x:c r="I2" s="2"/>
    </x:row>
    <x:row r="3" ht="25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25" customHeight="1">
      <x:c r="A4" s="2" t="str">
        <x:v>Bunlar iş planı ödenekleridir; alınmış hizmet teklifi değildir.</x:v>
      </x:c>
      <x:c r="B4" s="2"/>
      <x:c r="C4" s="2"/>
      <x:c r="D4" s="2"/>
      <x:c r="E4" s="2"/>
      <x:c r="F4" s="2"/>
      <x:c r="G4" s="2"/>
      <x:c r="H4" s="2"/>
      <x:c r="I4" s="2"/>
    </x:row>
    <x:row r="5" ht="25" customHeight="1">
      <x:c r="A5" s="2" t="str">
        <x:v>Dış hizmet eşdeğeri net maliyet; BİEM iç kaynak ücretleriyle değiştirilebilir.</x:v>
      </x:c>
      <x:c r="B5" s="2"/>
      <x:c r="C5" s="2"/>
      <x:c r="D5" s="2"/>
      <x:c r="E5" s="2"/>
      <x:c r="F5" s="2"/>
      <x:c r="G5" s="2"/>
      <x:c r="H5" s="2"/>
      <x:c r="I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</x:row>
    <x:row r="7" ht="31" customHeight="1">
      <x:c r="A7" s="19" t="str">
        <x:v>İş paketi</x:v>
      </x:c>
      <x:c r="B7" s="19" t="str">
        <x:v>Miktar</x:v>
      </x:c>
      <x:c r="C7" s="19" t="str">
        <x:v>Birim</x:v>
      </x:c>
      <x:c r="D7" s="19" t="str">
        <x:v>Birim net TL</x:v>
      </x:c>
      <x:c r="E7" s="19" t="str">
        <x:v>Net toplam TL</x:v>
      </x:c>
      <x:c r="F7" s="19" t="str">
        <x:v>KDV</x:v>
      </x:c>
      <x:c r="G7" s="19" t="str">
        <x:v>Brüt TL</x:v>
      </x:c>
      <x:c r="H7" s="2"/>
      <x:c r="I7" s="2"/>
    </x:row>
    <x:row r="8" ht="34" customHeight="1">
      <x:c r="A8" s="2" t="str">
        <x:v>Yazılım servisleştirme, 2 SDR ve 4/8 yük işleri</x:v>
      </x:c>
      <x:c r="B8" s="8" t="n">
        <x:v>20</x:v>
      </x:c>
      <x:c r="C8" s="2" t="str">
        <x:v>Adam-gün</x:v>
      </x:c>
      <x:c r="D8" s="28" t="n">
        <x:v>6500</x:v>
      </x:c>
      <x:c r="E8" s="14" t="n">
        <x:f>B8*D8</x:f>
        <x:v>130000</x:v>
      </x:c>
      <x:c r="F8" s="29" t="n">
        <x:f>'Ozet'!$E$6</x:f>
        <x:v>0.2</x:v>
      </x:c>
      <x:c r="G8" s="14" t="n">
        <x:f>E8*(1+F8)</x:f>
        <x:v>156000</x:v>
      </x:c>
      <x:c r="H8" s="2"/>
      <x:c r="I8" s="2" t="str">
        <x:v>Mühendislik tahmini; kapsam ve günlük ücret teyit edilecek.</x:v>
      </x:c>
    </x:row>
    <x:row r="9" ht="34" customHeight="1">
      <x:c r="A9" s="22" t="str">
        <x:v>Kasa ayrıntılandırma, numune uyumu, kablo</x:v>
      </x:c>
      <x:c r="B9" s="8" t="n">
        <x:v>5</x:v>
      </x:c>
      <x:c r="C9" s="22" t="str">
        <x:v>Adam-gün</x:v>
      </x:c>
      <x:c r="D9" s="28" t="n">
        <x:v>6500</x:v>
      </x:c>
      <x:c r="E9" s="39" t="n">
        <x:f>B9*D9</x:f>
        <x:v>32500</x:v>
      </x:c>
      <x:c r="F9" s="30" t="n">
        <x:f>'Ozet'!$E$6</x:f>
        <x:v>0.2</x:v>
      </x:c>
      <x:c r="G9" s="39" t="n">
        <x:f>E9*(1+F9)</x:f>
        <x:v>39000</x:v>
      </x:c>
      <x:c r="H9" s="2"/>
      <x:c r="I9" s="2" t="str">
        <x:v>Mühendislik tahmini; kapsam ve günlük ücret teyit edilecek.</x:v>
      </x:c>
    </x:row>
    <x:row r="10" ht="34" customHeight="1">
      <x:c r="A10" s="2" t="str">
        <x:v>Kayıt kurtarma, roller, anahtar ve güvenlik</x:v>
      </x:c>
      <x:c r="B10" s="8" t="n">
        <x:v>5</x:v>
      </x:c>
      <x:c r="C10" s="2" t="str">
        <x:v>Adam-gün</x:v>
      </x:c>
      <x:c r="D10" s="28" t="n">
        <x:v>6500</x:v>
      </x:c>
      <x:c r="E10" s="14" t="n">
        <x:f>B10*D10</x:f>
        <x:v>32500</x:v>
      </x:c>
      <x:c r="F10" s="29" t="n">
        <x:f>'Ozet'!$E$6</x:f>
        <x:v>0.2</x:v>
      </x:c>
      <x:c r="G10" s="14" t="n">
        <x:f>E10*(1+F10)</x:f>
        <x:v>39000</x:v>
      </x:c>
      <x:c r="H10" s="2"/>
      <x:c r="I10" s="2" t="str">
        <x:v>Mühendislik tahmini; kapsam ve günlük ücret teyit edilecek.</x:v>
      </x:c>
    </x:row>
    <x:row r="11" ht="34" customHeight="1">
      <x:c r="A11" s="22" t="str">
        <x:v>RF/termal test düzeneği ve analiz</x:v>
      </x:c>
      <x:c r="B11" s="8" t="n">
        <x:v>6</x:v>
      </x:c>
      <x:c r="C11" s="22" t="str">
        <x:v>Adam-gün</x:v>
      </x:c>
      <x:c r="D11" s="28" t="n">
        <x:v>6500</x:v>
      </x:c>
      <x:c r="E11" s="39" t="n">
        <x:f>B11*D11</x:f>
        <x:v>39000</x:v>
      </x:c>
      <x:c r="F11" s="30" t="n">
        <x:f>'Ozet'!$E$6</x:f>
        <x:v>0.2</x:v>
      </x:c>
      <x:c r="G11" s="39" t="n">
        <x:f>E11*(1+F11)</x:f>
        <x:v>46800</x:v>
      </x:c>
      <x:c r="H11" s="2"/>
      <x:c r="I11" s="2" t="str">
        <x:v>Mühendislik tahmini; kapsam ve günlük ücret teyit edilecek.</x:v>
      </x:c>
    </x:row>
    <x:row r="12" ht="34" customHeight="1">
      <x:c r="A12" s="2" t="str">
        <x:v>Üretim imajı, dokümantasyon, FAT fikstürü</x:v>
      </x:c>
      <x:c r="B12" s="8" t="n">
        <x:v>4</x:v>
      </x:c>
      <x:c r="C12" s="2" t="str">
        <x:v>Adam-gün</x:v>
      </x:c>
      <x:c r="D12" s="28" t="n">
        <x:v>6500</x:v>
      </x:c>
      <x:c r="E12" s="14" t="n">
        <x:f>B12*D12</x:f>
        <x:v>26000</x:v>
      </x:c>
      <x:c r="F12" s="29" t="n">
        <x:f>'Ozet'!$E$6</x:f>
        <x:v>0.2</x:v>
      </x:c>
      <x:c r="G12" s="14" t="n">
        <x:f>E12*(1+F12)</x:f>
        <x:v>31200</x:v>
      </x:c>
      <x:c r="H12" s="2"/>
      <x:c r="I12" s="2" t="str">
        <x:v>Mühendislik tahmini; kapsam ve günlük ücret teyit edilecek.</x:v>
      </x:c>
    </x:row>
    <x:row r="13" ht="34" customHeight="1">
      <x:c r="A13" s="22" t="str">
        <x:v>Lisans dosyası ve uzman inceleme ödeneği</x:v>
      </x:c>
      <x:c r="B13" s="8" t="n">
        <x:v>3</x:v>
      </x:c>
      <x:c r="C13" s="22" t="str">
        <x:v>Adam-gün</x:v>
      </x:c>
      <x:c r="D13" s="28" t="n">
        <x:v>6500</x:v>
      </x:c>
      <x:c r="E13" s="39" t="n">
        <x:f>B13*D13</x:f>
        <x:v>19500</x:v>
      </x:c>
      <x:c r="F13" s="30" t="n">
        <x:f>'Ozet'!$E$6</x:f>
        <x:v>0.2</x:v>
      </x:c>
      <x:c r="G13" s="39" t="n">
        <x:f>E13*(1+F13)</x:f>
        <x:v>23400</x:v>
      </x:c>
      <x:c r="H13" s="2"/>
      <x:c r="I13" s="2" t="str">
        <x:v>Mühendislik tahmini; kapsam ve günlük ücret teyit edilecek.</x:v>
      </x:c>
    </x:row>
    <x:row r="14" ht="34" customHeight="1">
      <x:c r="A14" s="2" t="str">
        <x:v>EMC/RF ön uygunluk laboratuvarı ödeneği</x:v>
      </x:c>
      <x:c r="B14" s="8" t="n">
        <x:v>1</x:v>
      </x:c>
      <x:c r="C14" s="2" t="str">
        <x:v>İş paketi</x:v>
      </x:c>
      <x:c r="D14" s="28" t="n">
        <x:v>35000</x:v>
      </x:c>
      <x:c r="E14" s="14" t="n">
        <x:f>B14*D14</x:f>
        <x:v>35000</x:v>
      </x:c>
      <x:c r="F14" s="29" t="n">
        <x:f>'Ozet'!$E$6</x:f>
        <x:v>0.2</x:v>
      </x:c>
      <x:c r="G14" s="14" t="n">
        <x:f>E14*(1+F14)</x:f>
        <x:v>42000</x:v>
      </x:c>
      <x:c r="H14" s="2"/>
      <x:c r="I14" s="2" t="str">
        <x:v>Laboratuvar teklifi alınmadı; test kapsamına göre değişir.</x:v>
      </x:c>
    </x:row>
    <x:row r="15" ht="34" customHeight="1">
      <x:c r="A15" s="22" t="str">
        <x:v>Nihai uygunluk testleri ödeneği</x:v>
      </x:c>
      <x:c r="B15" s="8" t="n">
        <x:v>1</x:v>
      </x:c>
      <x:c r="C15" s="22" t="str">
        <x:v>İş paketi</x:v>
      </x:c>
      <x:c r="D15" s="28" t="n">
        <x:v>100000</x:v>
      </x:c>
      <x:c r="E15" s="39" t="n">
        <x:f>B15*D15</x:f>
        <x:v>100000</x:v>
      </x:c>
      <x:c r="F15" s="30" t="n">
        <x:f>'Ozet'!$E$6</x:f>
        <x:v>0.2</x:v>
      </x:c>
      <x:c r="G15" s="39" t="n">
        <x:f>E15*(1+F15)</x:f>
        <x:v>120000</x:v>
      </x:c>
      <x:c r="H15" s="2"/>
      <x:c r="I15" s="2" t="str">
        <x:v>Laboratuvar teklifi alınmadı; test kapsamına göre değişir.</x:v>
      </x:c>
    </x:row>
    <x:row r="16" ht="25" customHeight="1">
      <x:c r="A16" s="2"/>
      <x:c r="B16" s="2"/>
      <x:c r="C16" s="2"/>
      <x:c r="D16" s="14"/>
      <x:c r="E16" s="14"/>
      <x:c r="F16" s="14"/>
      <x:c r="G16" s="14"/>
      <x:c r="H16" s="2"/>
      <x:c r="I16" s="2"/>
    </x:row>
    <x:row r="17" ht="25" customHeight="1">
      <x:c r="A17" s="2"/>
      <x:c r="B17" s="2"/>
      <x:c r="C17" s="2"/>
      <x:c r="D17" s="14"/>
      <x:c r="E17" s="14"/>
      <x:c r="F17" s="14"/>
      <x:c r="G17" s="14"/>
      <x:c r="H17" s="2"/>
      <x:c r="I17" s="2"/>
    </x:row>
    <x:row r="18" ht="25" customHeight="1">
      <x:c r="A18" s="2" t="str">
        <x:v>Net ürünleştirme ödeneği</x:v>
      </x:c>
      <x:c r="B18" s="2"/>
      <x:c r="C18" s="2"/>
      <x:c r="D18" s="14"/>
      <x:c r="E18" s="14" t="n">
        <x:f>SUM(E8:E15)</x:f>
        <x:v>414500</x:v>
      </x:c>
      <x:c r="F18" s="14"/>
      <x:c r="G18" s="14"/>
      <x:c r="H18" s="2"/>
      <x:c r="I18" s="2"/>
    </x:row>
    <x:row r="19" ht="25" customHeight="1">
      <x:c r="A19" s="2" t="str">
        <x:v>Varsayımsal KDV</x:v>
      </x:c>
      <x:c r="B19" s="2"/>
      <x:c r="C19" s="2"/>
      <x:c r="D19" s="14"/>
      <x:c r="E19" s="14" t="n">
        <x:f>SUM(G8:G15)-E18</x:f>
        <x:v>82900</x:v>
      </x:c>
      <x:c r="F19" s="14"/>
      <x:c r="G19" s="14"/>
      <x:c r="H19" s="2"/>
      <x:c r="I19" s="2"/>
    </x:row>
    <x:row r="20" ht="25" customHeight="1">
      <x:c r="A20" s="12" t="str">
        <x:v>Brüt ürünleştirme ödeneği</x:v>
      </x:c>
      <x:c r="B20" s="12"/>
      <x:c r="C20" s="12"/>
      <x:c r="D20" s="15"/>
      <x:c r="E20" s="15" t="n">
        <x:f>SUM(G8:G15)</x:f>
        <x:v>497400</x:v>
      </x:c>
      <x:c r="F20" s="15"/>
      <x:c r="G20" s="15"/>
      <x:c r="H20" s="2"/>
      <x:c r="I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25" customHeight="1">
      <x:c r="A23" s="2" t="str">
        <x:v>AMBE, TETRA ve IoT OEM lisans bedelleri bu tutarda yoktur.</x:v>
      </x:c>
      <x:c r="B23" s="2"/>
      <x:c r="C23" s="2"/>
      <x:c r="D23" s="2"/>
      <x:c r="E23" s="2"/>
      <x:c r="F23" s="2"/>
      <x:c r="G23" s="2"/>
      <x:c r="H23" s="2"/>
      <x:c r="I23" s="2"/>
    </x:row>
    <x:row r="24" ht="25" customHeight="1">
      <x:c r="A24" s="2" t="str">
        <x:v>Parça montajı BOM B27’dedir; burada tekrar sayılmaz.</x:v>
      </x:c>
      <x:c r="B24" s="2"/>
      <x:c r="C24" s="2"/>
      <x:c r="D24" s="2"/>
      <x:c r="E24" s="2"/>
      <x:c r="F24" s="2"/>
      <x:c r="G24" s="2"/>
      <x:c r="H24" s="2"/>
      <x:c r="I24" s="2"/>
    </x:row>
    <x:row r="25" ht="25" customHeight="1">
      <x:c r="A25" s="2"/>
      <x:c r="B25" s="2"/>
      <x:c r="C25" s="2"/>
      <x:c r="D25" s="2"/>
      <x:c r="E25" s="2"/>
      <x:c r="F25" s="2"/>
      <x:c r="G25" s="2"/>
      <x:c r="H25" s="2"/>
      <x:c r="I25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18" hidden="0" customWidth="1"/>
    <x:col min="3" max="3" width="5" hidden="0" customWidth="1"/>
    <x:col min="4" max="4" width="48" hidden="0" customWidth="1"/>
    <x:col min="5" max="5" width="23" hidden="0" customWidth="1"/>
  </x:cols>
  <x:sheetData>
    <x:row r="1" ht="25" customHeight="1">
      <x:c r="A1" s="2"/>
      <x:c r="B1" s="2"/>
      <x:c r="C1" s="2"/>
      <x:c r="D1" s="2"/>
      <x:c r="E1" s="2"/>
    </x:row>
    <x:row r="2" ht="25" customHeight="1">
      <x:c r="A2" s="3" t="str">
        <x:v>BM-ICC-08 / Disk, IQ ve ısı hesabı</x:v>
      </x:c>
      <x:c r="B2" s="2"/>
      <x:c r="C2" s="2"/>
      <x:c r="D2" s="2"/>
      <x:c r="E2" s="2"/>
    </x:row>
    <x:row r="3" ht="25" customHeight="1">
      <x:c r="A3" s="4"/>
      <x:c r="B3" s="4"/>
      <x:c r="C3" s="4"/>
      <x:c r="D3" s="4"/>
      <x:c r="E3" s="4"/>
    </x:row>
    <x:row r="4" ht="25" customHeight="1">
      <x:c r="A4" s="2" t="str">
        <x:v>PCM plan hesabı; gerçek RF/CPU/USB kabul testi yerine geçmez.</x:v>
      </x:c>
      <x:c r="B4" s="2"/>
      <x:c r="C4" s="2"/>
      <x:c r="D4" s="2"/>
      <x:c r="E4" s="2"/>
    </x:row>
    <x:row r="5" ht="25" customHeight="1">
      <x:c r="A5" s="2"/>
      <x:c r="B5" s="2"/>
      <x:c r="C5" s="2"/>
      <x:c r="D5" s="2"/>
      <x:c r="E5" s="2"/>
    </x:row>
    <x:row r="6" ht="25" customHeight="1">
      <x:c r="A6" s="2"/>
      <x:c r="B6" s="2"/>
      <x:c r="C6" s="2"/>
      <x:c r="D6" s="2"/>
      <x:c r="E6" s="2"/>
    </x:row>
    <x:row r="7" ht="25" customHeight="1">
      <x:c r="A7" s="2" t="str">
        <x:v>RF taşıyıcısı hedefi</x:v>
      </x:c>
      <x:c r="B7" s="8" t="n">
        <x:v>8</x:v>
      </x:c>
      <x:c r="C7" s="2"/>
      <x:c r="D7" s="2" t="str">
        <x:v>Toplam eşzamanlı ses akışı</x:v>
      </x:c>
      <x:c r="E7" s="44" t="n">
        <x:f>B7*B8</x:f>
        <x:v>16</x:v>
      </x:c>
    </x:row>
    <x:row r="8" ht="25" customHeight="1">
      <x:c r="A8" s="2" t="str">
        <x:v>Taşıyıcı başına ses akışı (DMR slot)</x:v>
      </x:c>
      <x:c r="B8" s="8" t="n">
        <x:v>2</x:v>
      </x:c>
      <x:c r="C8" s="2"/>
      <x:c r="D8" s="2" t="str">
        <x:v>Bir akış / byte-s</x:v>
      </x:c>
      <x:c r="E8" s="43" t="n">
        <x:f>B9*B10/8*B11</x:f>
        <x:v>32000</x:v>
      </x:c>
    </x:row>
    <x:row r="9" ht="25" customHeight="1">
      <x:c r="A9" s="2" t="str">
        <x:v>Örnekleme / Hz</x:v>
      </x:c>
      <x:c r="B9" s="8" t="n">
        <x:v>16000</x:v>
      </x:c>
      <x:c r="C9" s="2"/>
      <x:c r="D9" s="2" t="str">
        <x:v>Tüm sesler / GB-gün</x:v>
      </x:c>
      <x:c r="E9" s="43" t="n">
        <x:f>E7*E8*86400/1000000000*B12</x:f>
        <x:v>44.2368</x:v>
      </x:c>
    </x:row>
    <x:row r="10" ht="25" customHeight="1">
      <x:c r="A10" s="2" t="str">
        <x:v>Örnek bit sayısı</x:v>
      </x:c>
      <x:c r="B10" s="8" t="n">
        <x:v>16</x:v>
      </x:c>
      <x:c r="C10" s="2"/>
      <x:c r="D10" s="2" t="str">
        <x:v>Ek yük dahil / GB-gün</x:v>
      </x:c>
      <x:c r="E10" s="43" t="n">
        <x:f>E9*(1+B15)</x:f>
        <x:v>48.66048000000001</x:v>
      </x:c>
    </x:row>
    <x:row r="11" ht="25" customHeight="1">
      <x:c r="A11" s="2" t="str">
        <x:v>Ses kanal sayısı / mono</x:v>
      </x:c>
      <x:c r="B11" s="8" t="n">
        <x:v>1</x:v>
      </x:c>
      <x:c r="C11" s="2"/>
      <x:c r="D11" s="2" t="str">
        <x:v>Arşive ayrılan alan / GB</x:v>
      </x:c>
      <x:c r="E11" s="43" t="n">
        <x:f>B13*(1-B14)</x:f>
        <x:v>800</x:v>
      </x:c>
    </x:row>
    <x:row r="12" ht="25" customHeight="1">
      <x:c r="A12" s="2" t="str">
        <x:v>Ses etkinlik oranı</x:v>
      </x:c>
      <x:c r="B12" s="9" t="n">
        <x:v>1</x:v>
      </x:c>
      <x:c r="C12" s="2"/>
      <x:c r="D12" s="12" t="str">
        <x:v>Saklama süresi / gün</x:v>
      </x:c>
      <x:c r="E12" s="47" t="n">
        <x:f>IF(E10&gt;0,E11/E10,"Akış yok")</x:f>
        <x:v>16.440446127946124</x:v>
      </x:c>
    </x:row>
    <x:row r="13" ht="25" customHeight="1">
      <x:c r="A13" s="2" t="str">
        <x:v>Nominal disk / GB</x:v>
      </x:c>
      <x:c r="B13" s="8" t="n">
        <x:v>1000</x:v>
      </x:c>
      <x:c r="C13" s="2"/>
      <x:c r="D13" s="2" t="str">
        <x:v>Hedef süre için nominal disk / GB</x:v>
      </x:c>
      <x:c r="E13" s="43" t="n">
        <x:f>IF(B14&lt;1,E10*B16/(1-B14),"Girdi hatası")</x:f>
        <x:v>1824.7680000000003</x:v>
      </x:c>
    </x:row>
    <x:row r="14" ht="25" customHeight="1">
      <x:c r="A14" s="2" t="str">
        <x:v>Ayrılmış disk oranı</x:v>
      </x:c>
      <x:c r="B14" s="9" t="n">
        <x:v>0.2</x:v>
      </x:c>
      <x:c r="C14" s="2"/>
      <x:c r="D14" s="2"/>
      <x:c r="E14" s="43"/>
    </x:row>
    <x:row r="15" ht="25" customHeight="1">
      <x:c r="A15" s="2" t="str">
        <x:v>Arşiv ek yükü oranı</x:v>
      </x:c>
      <x:c r="B15" s="9" t="n">
        <x:v>0.1</x:v>
      </x:c>
      <x:c r="C15" s="2"/>
      <x:c r="D15" s="2"/>
      <x:c r="E15" s="43"/>
    </x:row>
    <x:row r="16" ht="25" customHeight="1">
      <x:c r="A16" s="2" t="str">
        <x:v>İstenen saklama / gün</x:v>
      </x:c>
      <x:c r="B16" s="8" t="n">
        <x:v>30</x:v>
      </x:c>
      <x:c r="C16" s="2"/>
      <x:c r="D16" s="2" t="str">
        <x:v>90 sn kayıt + 2 sn boşluk oranı</x:v>
      </x:c>
      <x:c r="E16" s="40" t="n">
        <x:f>90/92</x:f>
        <x:v>0.9782608695652174</x:v>
      </x:c>
    </x:row>
    <x:row r="17" ht="25" customHeight="1">
      <x:c r="A17" s="2"/>
      <x:c r="B17" s="2"/>
      <x:c r="C17" s="2"/>
      <x:c r="D17" s="2"/>
      <x:c r="E17" s="43"/>
    </x:row>
    <x:row r="18" ht="25" customHeight="1">
      <x:c r="A18" s="2"/>
      <x:c r="B18" s="2"/>
      <x:c r="C18" s="2"/>
      <x:c r="D18" s="2" t="str">
        <x:v>2 saniye boşluk, kesintisiz kayıt değildir.</x:v>
      </x:c>
      <x:c r="E18" s="43"/>
    </x:row>
    <x:row r="19" ht="25" customHeight="1">
      <x:c r="A19" s="2"/>
      <x:c r="B19" s="2"/>
      <x:c r="C19" s="2"/>
      <x:c r="D19" s="2"/>
      <x:c r="E19" s="43"/>
    </x:row>
    <x:row r="20" ht="25" customHeight="1">
      <x:c r="A20" s="2"/>
      <x:c r="B20" s="2"/>
      <x:c r="C20" s="2"/>
      <x:c r="D20" s="2"/>
      <x:c r="E20" s="43"/>
    </x:row>
    <x:row r="21" ht="25" customHeight="1">
      <x:c r="A21" s="2" t="str">
        <x:v>SDR sayısı</x:v>
      </x:c>
      <x:c r="B21" s="8" t="n">
        <x:v>2</x:v>
      </x:c>
      <x:c r="C21" s="2"/>
      <x:c r="D21" s="2" t="str">
        <x:v>Ham IQ / MB-s</x:v>
      </x:c>
      <x:c r="E21" s="43" t="n">
        <x:f>B21*B22*B23/8*B24</x:f>
        <x:v>9.6</x:v>
      </x:c>
    </x:row>
    <x:row r="22" ht="25" customHeight="1">
      <x:c r="A22" s="2" t="str">
        <x:v>IQ örnekleme / MS/s</x:v>
      </x:c>
      <x:c r="B22" s="42" t="n">
        <x:v>2.4</x:v>
      </x:c>
      <x:c r="C22" s="2"/>
      <x:c r="D22" s="2" t="str">
        <x:v>Ham IQ / GB-gün</x:v>
      </x:c>
      <x:c r="E22" s="43" t="n">
        <x:f>E21*86400/1000</x:f>
        <x:v>829.44</x:v>
      </x:c>
    </x:row>
    <x:row r="23" ht="25" customHeight="1">
      <x:c r="A23" s="2" t="str">
        <x:v>I veya Q başına bit</x:v>
      </x:c>
      <x:c r="B23" s="8" t="n">
        <x:v>8</x:v>
      </x:c>
      <x:c r="C23" s="2"/>
      <x:c r="D23" s="2"/>
      <x:c r="E23" s="43"/>
    </x:row>
    <x:row r="24" ht="25" customHeight="1">
      <x:c r="A24" s="2" t="str">
        <x:v>I/Q bileşen sayısı</x:v>
      </x:c>
      <x:c r="B24" s="8" t="n">
        <x:v>2</x:v>
      </x:c>
      <x:c r="C24" s="2"/>
      <x:c r="D24" s="2"/>
      <x:c r="E24" s="43"/>
    </x:row>
    <x:row r="25" ht="25" customHeight="1">
      <x:c r="A25" s="2"/>
      <x:c r="B25" s="2"/>
      <x:c r="C25" s="2"/>
      <x:c r="D25" s="2"/>
      <x:c r="E25" s="43"/>
    </x:row>
    <x:row r="26" ht="25" customHeight="1">
      <x:c r="A26" s="2" t="str">
        <x:v>Ham IQ sürekli arşivlenmez; disk hesabı ayrı gösterilmiştir.</x:v>
      </x:c>
      <x:c r="B26" s="2"/>
      <x:c r="C26" s="2"/>
      <x:c r="D26" s="2"/>
      <x:c r="E26" s="43"/>
    </x:row>
    <x:row r="27" ht="25" customHeight="1">
      <x:c r="A27" s="2"/>
      <x:c r="B27" s="2"/>
      <x:c r="C27" s="2"/>
      <x:c r="D27" s="2"/>
      <x:c r="E27" s="43"/>
    </x:row>
    <x:row r="28" ht="25" customHeight="1">
      <x:c r="A28" s="2" t="str">
        <x:v>Tahmini kasa ısı yükü / W</x:v>
      </x:c>
      <x:c r="B28" s="8" t="n">
        <x:v>70</x:v>
      </x:c>
      <x:c r="C28" s="2"/>
      <x:c r="D28" s="2" t="str">
        <x:v>Gerekli ideal debi / m³-saat</x:v>
      </x:c>
      <x:c r="E28" s="43" t="n">
        <x:f>IF(B29&gt;0,B28/(B30*B31*B29)*3600,"Girdi hatası")</x:f>
        <x:v>20.8955223880597</x:v>
      </x:c>
    </x:row>
    <x:row r="29" ht="25" customHeight="1">
      <x:c r="A29" s="2" t="str">
        <x:v>İzin verilen hava artışı / °C</x:v>
      </x:c>
      <x:c r="B29" s="8" t="n">
        <x:v>10</x:v>
      </x:c>
      <x:c r="C29" s="2"/>
      <x:c r="D29" s="2" t="str">
        <x:v>İki fanın serbest hava toplamı</x:v>
      </x:c>
      <x:c r="E29" s="43" t="n">
        <x:f>2*29.2</x:f>
        <x:v>58.4</x:v>
      </x:c>
    </x:row>
    <x:row r="30" ht="25" customHeight="1">
      <x:c r="A30" s="2" t="str">
        <x:v>Hava yoğunluğu / kg/m³</x:v>
      </x:c>
      <x:c r="B30" s="42" t="n">
        <x:v>1.2</x:v>
      </x:c>
      <x:c r="C30" s="2"/>
      <x:c r="D30" s="2" t="str">
        <x:v>İki fan, azami 5 V güç / W</x:v>
      </x:c>
      <x:c r="E30" s="43" t="n">
        <x:f>2*5*0.26</x:f>
        <x:v>2.6</x:v>
      </x:c>
    </x:row>
    <x:row r="31" ht="25" customHeight="1">
      <x:c r="A31" s="2" t="str">
        <x:v>Havanın özgül ısısı / J/(kg·K)</x:v>
      </x:c>
      <x:c r="B31" s="8" t="n">
        <x:v>1005</x:v>
      </x:c>
      <x:c r="C31" s="2"/>
      <x:c r="D31" s="2" t="str">
        <x:v>Tahmini günlük enerji / kWh</x:v>
      </x:c>
      <x:c r="E31" s="43" t="n">
        <x:f>B28*24/1000</x:f>
        <x:v>1.68</x:v>
      </x:c>
    </x:row>
    <x:row r="32" ht="25" customHeight="1">
      <x:c r="A32" s="2"/>
      <x:c r="B32" s="2"/>
      <x:c r="C32" s="2"/>
      <x:c r="D32" s="2"/>
      <x:c r="E32" s="2"/>
    </x:row>
    <x:row r="33" ht="25" customHeight="1">
      <x:c r="A33" s="2" t="str">
        <x:v>70 W tahmindir. Debi, kapalı kasada ölçülmelidir.</x:v>
      </x:c>
      <x:c r="B33" s="2"/>
      <x:c r="C33" s="2"/>
      <x:c r="D33" s="2" t="str">
        <x:v>Kaynak: RTL-SDR V3 ve Noctua teknik sayfaları.</x:v>
      </x:c>
      <x:c r="E33" s="2"/>
    </x:row>
    <x:row r="34" ht="25" customHeight="1">
      <x:c r="A34" s="2"/>
      <x:c r="B34" s="2"/>
      <x:c r="C34" s="2"/>
      <x:c r="D34" s="2"/>
      <x:c r="E34" s="2"/>
    </x:row>
  </x:sheetData>
  <x:pageMargins left="0.7" right="0.7" top="0.75" bottom="0.75" header="0.3" footer="0.3"/>
</x:worksheet>
</file>